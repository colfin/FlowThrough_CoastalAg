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infinlay/Desktop/PeraltaLab/CNH2/HydeCounty_Ag/MarshRd_FlowThrough/Data/"/>
    </mc:Choice>
  </mc:AlternateContent>
  <xr:revisionPtr revIDLastSave="0" documentId="13_ncr:1_{AA01C71F-9666-064C-9D47-CEE16C7BBB2F}" xr6:coauthVersionLast="47" xr6:coauthVersionMax="47" xr10:uidLastSave="{00000000-0000-0000-0000-000000000000}"/>
  <bookViews>
    <workbookView xWindow="0" yWindow="660" windowWidth="34560" windowHeight="21680" activeTab="1" xr2:uid="{63F2B99B-D7C4-0A46-8AFC-3D1045C92DF8}"/>
  </bookViews>
  <sheets>
    <sheet name="AprMay2026" sheetId="3" r:id="rId1"/>
    <sheet name="R_ready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4" i="3" l="1"/>
  <c r="M53" i="3"/>
  <c r="M52" i="3"/>
  <c r="U49" i="5"/>
  <c r="T49" i="5"/>
  <c r="O49" i="5"/>
  <c r="M49" i="5"/>
  <c r="P49" i="5"/>
  <c r="Q49" i="5"/>
  <c r="R49" i="5"/>
  <c r="S49" i="5"/>
  <c r="U48" i="5"/>
  <c r="T48" i="5"/>
  <c r="O48" i="5"/>
  <c r="M48" i="5"/>
  <c r="P48" i="5"/>
  <c r="Q48" i="5"/>
  <c r="R48" i="5"/>
  <c r="S48" i="5"/>
  <c r="U47" i="5"/>
  <c r="T47" i="5"/>
  <c r="O47" i="5"/>
  <c r="M47" i="5"/>
  <c r="P47" i="5"/>
  <c r="Q47" i="5"/>
  <c r="R47" i="5"/>
  <c r="S47" i="5"/>
  <c r="U46" i="5"/>
  <c r="T46" i="5"/>
  <c r="O46" i="5"/>
  <c r="M46" i="5"/>
  <c r="P46" i="5"/>
  <c r="Q46" i="5"/>
  <c r="R46" i="5"/>
  <c r="S46" i="5"/>
  <c r="U45" i="5"/>
  <c r="T45" i="5"/>
  <c r="O45" i="5"/>
  <c r="M45" i="5"/>
  <c r="P45" i="5"/>
  <c r="Q45" i="5"/>
  <c r="R45" i="5"/>
  <c r="S45" i="5"/>
  <c r="U44" i="5"/>
  <c r="T44" i="5"/>
  <c r="O44" i="5"/>
  <c r="M44" i="5"/>
  <c r="P44" i="5"/>
  <c r="Q44" i="5"/>
  <c r="R44" i="5"/>
  <c r="S44" i="5"/>
  <c r="U43" i="5"/>
  <c r="T43" i="5"/>
  <c r="O43" i="5"/>
  <c r="M43" i="5"/>
  <c r="P43" i="5"/>
  <c r="Q43" i="5"/>
  <c r="R43" i="5"/>
  <c r="S43" i="5"/>
  <c r="U42" i="5"/>
  <c r="T42" i="5"/>
  <c r="O42" i="5"/>
  <c r="M42" i="5"/>
  <c r="P42" i="5"/>
  <c r="Q42" i="5"/>
  <c r="R42" i="5"/>
  <c r="S42" i="5"/>
  <c r="U41" i="5"/>
  <c r="T41" i="5"/>
  <c r="O41" i="5"/>
  <c r="M41" i="5"/>
  <c r="P41" i="5"/>
  <c r="Q41" i="5"/>
  <c r="R41" i="5"/>
  <c r="S41" i="5"/>
  <c r="U40" i="5"/>
  <c r="T40" i="5"/>
  <c r="O40" i="5"/>
  <c r="M40" i="5"/>
  <c r="P40" i="5"/>
  <c r="Q40" i="5"/>
  <c r="R40" i="5"/>
  <c r="S40" i="5"/>
  <c r="U39" i="5"/>
  <c r="T39" i="5"/>
  <c r="O39" i="5"/>
  <c r="M39" i="5"/>
  <c r="P39" i="5"/>
  <c r="Q39" i="5"/>
  <c r="R39" i="5"/>
  <c r="S39" i="5"/>
  <c r="U38" i="5"/>
  <c r="T38" i="5"/>
  <c r="U37" i="5"/>
  <c r="T37" i="5"/>
  <c r="U36" i="5"/>
  <c r="T36" i="5"/>
  <c r="O36" i="5"/>
  <c r="M36" i="5"/>
  <c r="P36" i="5"/>
  <c r="Q36" i="5"/>
  <c r="R36" i="5"/>
  <c r="S36" i="5"/>
  <c r="U35" i="5"/>
  <c r="T35" i="5"/>
  <c r="O35" i="5"/>
  <c r="M35" i="5"/>
  <c r="P35" i="5"/>
  <c r="Q35" i="5"/>
  <c r="R35" i="5"/>
  <c r="S35" i="5"/>
  <c r="U34" i="5"/>
  <c r="T34" i="5"/>
  <c r="O34" i="5"/>
  <c r="M34" i="5"/>
  <c r="P34" i="5"/>
  <c r="Q34" i="5"/>
  <c r="R34" i="5"/>
  <c r="S34" i="5"/>
  <c r="U33" i="5"/>
  <c r="T33" i="5"/>
  <c r="O33" i="5"/>
  <c r="M33" i="5"/>
  <c r="P33" i="5"/>
  <c r="Q33" i="5"/>
  <c r="R33" i="5"/>
  <c r="S33" i="5"/>
  <c r="U32" i="5"/>
  <c r="T32" i="5"/>
  <c r="O32" i="5"/>
  <c r="M32" i="5"/>
  <c r="P32" i="5"/>
  <c r="Q32" i="5"/>
  <c r="R32" i="5"/>
  <c r="S32" i="5"/>
  <c r="U31" i="5"/>
  <c r="T31" i="5"/>
  <c r="O31" i="5"/>
  <c r="M31" i="5"/>
  <c r="P31" i="5"/>
  <c r="Q31" i="5"/>
  <c r="R31" i="5"/>
  <c r="S31" i="5"/>
  <c r="U30" i="5"/>
  <c r="T30" i="5"/>
  <c r="O30" i="5"/>
  <c r="M30" i="5"/>
  <c r="P30" i="5"/>
  <c r="Q30" i="5"/>
  <c r="R30" i="5"/>
  <c r="S30" i="5"/>
  <c r="U29" i="5"/>
  <c r="T29" i="5"/>
  <c r="O29" i="5"/>
  <c r="M29" i="5"/>
  <c r="P29" i="5"/>
  <c r="Q29" i="5"/>
  <c r="R29" i="5"/>
  <c r="S29" i="5"/>
  <c r="U28" i="5"/>
  <c r="T28" i="5"/>
  <c r="O28" i="5"/>
  <c r="M28" i="5"/>
  <c r="P28" i="5"/>
  <c r="Q28" i="5"/>
  <c r="R28" i="5"/>
  <c r="S28" i="5"/>
  <c r="U27" i="5"/>
  <c r="T27" i="5"/>
  <c r="O27" i="5"/>
  <c r="M27" i="5"/>
  <c r="P27" i="5"/>
  <c r="Q27" i="5"/>
  <c r="R27" i="5"/>
  <c r="S27" i="5"/>
  <c r="U26" i="5"/>
  <c r="T26" i="5"/>
  <c r="O26" i="5"/>
  <c r="M26" i="5"/>
  <c r="P26" i="5"/>
  <c r="Q26" i="5"/>
  <c r="R26" i="5"/>
  <c r="S26" i="5"/>
  <c r="U25" i="5"/>
  <c r="T25" i="5"/>
  <c r="O25" i="5"/>
  <c r="M25" i="5"/>
  <c r="P25" i="5"/>
  <c r="Q25" i="5"/>
  <c r="R25" i="5"/>
  <c r="S25" i="5"/>
  <c r="U24" i="5"/>
  <c r="T24" i="5"/>
  <c r="O24" i="5"/>
  <c r="M24" i="5"/>
  <c r="P24" i="5"/>
  <c r="Q24" i="5"/>
  <c r="R24" i="5"/>
  <c r="S24" i="5"/>
  <c r="U23" i="5"/>
  <c r="T23" i="5"/>
  <c r="O23" i="5"/>
  <c r="M23" i="5"/>
  <c r="P23" i="5"/>
  <c r="Q23" i="5"/>
  <c r="R23" i="5"/>
  <c r="S23" i="5"/>
  <c r="U22" i="5"/>
  <c r="T22" i="5"/>
  <c r="O22" i="5"/>
  <c r="M22" i="5"/>
  <c r="P22" i="5"/>
  <c r="Q22" i="5"/>
  <c r="R22" i="5"/>
  <c r="S22" i="5"/>
  <c r="U21" i="5"/>
  <c r="T21" i="5"/>
  <c r="O21" i="5"/>
  <c r="M21" i="5"/>
  <c r="P21" i="5"/>
  <c r="Q21" i="5"/>
  <c r="R21" i="5"/>
  <c r="S21" i="5"/>
  <c r="U20" i="5"/>
  <c r="T20" i="5"/>
  <c r="O20" i="5"/>
  <c r="M20" i="5"/>
  <c r="P20" i="5"/>
  <c r="Q20" i="5"/>
  <c r="R20" i="5"/>
  <c r="S20" i="5"/>
  <c r="U19" i="5"/>
  <c r="T19" i="5"/>
  <c r="O19" i="5"/>
  <c r="M19" i="5"/>
  <c r="P19" i="5"/>
  <c r="Q19" i="5"/>
  <c r="R19" i="5"/>
  <c r="S19" i="5"/>
  <c r="U18" i="5"/>
  <c r="T18" i="5"/>
  <c r="O18" i="5"/>
  <c r="M18" i="5"/>
  <c r="P18" i="5"/>
  <c r="Q18" i="5"/>
  <c r="R18" i="5"/>
  <c r="S18" i="5"/>
  <c r="U17" i="5"/>
  <c r="T17" i="5"/>
  <c r="O17" i="5"/>
  <c r="M17" i="5"/>
  <c r="P17" i="5"/>
  <c r="Q17" i="5"/>
  <c r="R17" i="5"/>
  <c r="S17" i="5"/>
  <c r="U16" i="5"/>
  <c r="T16" i="5"/>
  <c r="O16" i="5"/>
  <c r="M16" i="5"/>
  <c r="P16" i="5"/>
  <c r="Q16" i="5"/>
  <c r="R16" i="5"/>
  <c r="S16" i="5"/>
  <c r="U15" i="5"/>
  <c r="T15" i="5"/>
  <c r="O15" i="5"/>
  <c r="M15" i="5"/>
  <c r="P15" i="5"/>
  <c r="Q15" i="5"/>
  <c r="R15" i="5"/>
  <c r="S15" i="5"/>
  <c r="U14" i="5"/>
  <c r="T14" i="5"/>
  <c r="U13" i="5"/>
  <c r="T13" i="5"/>
  <c r="U12" i="5"/>
  <c r="T12" i="5"/>
  <c r="O12" i="5"/>
  <c r="M12" i="5"/>
  <c r="P12" i="5"/>
  <c r="Q12" i="5"/>
  <c r="R12" i="5"/>
  <c r="S12" i="5"/>
  <c r="U11" i="5"/>
  <c r="T11" i="5"/>
  <c r="O11" i="5"/>
  <c r="M11" i="5"/>
  <c r="P11" i="5"/>
  <c r="Q11" i="5"/>
  <c r="R11" i="5"/>
  <c r="S11" i="5"/>
  <c r="U10" i="5"/>
  <c r="T10" i="5"/>
  <c r="O10" i="5"/>
  <c r="M10" i="5"/>
  <c r="P10" i="5"/>
  <c r="Q10" i="5"/>
  <c r="R10" i="5"/>
  <c r="S10" i="5"/>
  <c r="U9" i="5"/>
  <c r="T9" i="5"/>
  <c r="O9" i="5"/>
  <c r="M9" i="5"/>
  <c r="P9" i="5"/>
  <c r="Q9" i="5"/>
  <c r="R9" i="5"/>
  <c r="S9" i="5"/>
  <c r="U8" i="5"/>
  <c r="T8" i="5"/>
  <c r="O8" i="5"/>
  <c r="M8" i="5"/>
  <c r="P8" i="5"/>
  <c r="Q8" i="5"/>
  <c r="R8" i="5"/>
  <c r="S8" i="5"/>
  <c r="U7" i="5"/>
  <c r="T7" i="5"/>
  <c r="O7" i="5"/>
  <c r="M7" i="5"/>
  <c r="P7" i="5"/>
  <c r="Q7" i="5"/>
  <c r="R7" i="5"/>
  <c r="S7" i="5"/>
  <c r="U6" i="5"/>
  <c r="T6" i="5"/>
  <c r="O6" i="5"/>
  <c r="M6" i="5"/>
  <c r="P6" i="5"/>
  <c r="Q6" i="5"/>
  <c r="R6" i="5"/>
  <c r="S6" i="5"/>
  <c r="U5" i="5"/>
  <c r="T5" i="5"/>
  <c r="O5" i="5"/>
  <c r="M5" i="5"/>
  <c r="P5" i="5"/>
  <c r="Q5" i="5"/>
  <c r="R5" i="5"/>
  <c r="S5" i="5"/>
  <c r="U4" i="5"/>
  <c r="T4" i="5"/>
  <c r="O4" i="5"/>
  <c r="M4" i="5"/>
  <c r="P4" i="5"/>
  <c r="Q4" i="5"/>
  <c r="R4" i="5"/>
  <c r="S4" i="5"/>
  <c r="U3" i="5"/>
  <c r="T3" i="5"/>
  <c r="O3" i="5"/>
  <c r="M3" i="5"/>
  <c r="P3" i="5"/>
  <c r="Q3" i="5"/>
  <c r="R3" i="5"/>
  <c r="S3" i="5"/>
  <c r="U2" i="5"/>
  <c r="T2" i="5"/>
  <c r="O2" i="5"/>
  <c r="M2" i="5"/>
  <c r="P2" i="5"/>
  <c r="Q2" i="5"/>
  <c r="R2" i="5"/>
  <c r="S2" i="5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R38" i="3"/>
  <c r="S38" i="3"/>
  <c r="R39" i="3"/>
  <c r="S39" i="3"/>
  <c r="R40" i="3"/>
  <c r="S40" i="3"/>
  <c r="R41" i="3"/>
  <c r="S41" i="3"/>
  <c r="R42" i="3"/>
  <c r="S42" i="3"/>
  <c r="R43" i="3"/>
  <c r="S43" i="3"/>
  <c r="R44" i="3"/>
  <c r="S44" i="3"/>
  <c r="R45" i="3"/>
  <c r="S45" i="3"/>
  <c r="R46" i="3"/>
  <c r="S46" i="3"/>
  <c r="R47" i="3"/>
  <c r="S47" i="3"/>
  <c r="R48" i="3"/>
  <c r="S48" i="3"/>
  <c r="R49" i="3"/>
  <c r="S49" i="3"/>
  <c r="R50" i="3"/>
  <c r="T50" i="3"/>
  <c r="O50" i="3"/>
  <c r="M50" i="3"/>
  <c r="P50" i="3"/>
  <c r="S50" i="3"/>
  <c r="T49" i="3"/>
  <c r="O49" i="3"/>
  <c r="M49" i="3"/>
  <c r="P49" i="3"/>
  <c r="T48" i="3"/>
  <c r="O48" i="3"/>
  <c r="M48" i="3"/>
  <c r="P48" i="3"/>
  <c r="T47" i="3"/>
  <c r="O47" i="3"/>
  <c r="M47" i="3"/>
  <c r="P47" i="3"/>
  <c r="T46" i="3"/>
  <c r="O46" i="3"/>
  <c r="M46" i="3"/>
  <c r="P46" i="3"/>
  <c r="T45" i="3"/>
  <c r="O45" i="3"/>
  <c r="M45" i="3"/>
  <c r="P45" i="3"/>
  <c r="T44" i="3"/>
  <c r="O44" i="3"/>
  <c r="M44" i="3"/>
  <c r="P44" i="3"/>
  <c r="T43" i="3"/>
  <c r="O43" i="3"/>
  <c r="M43" i="3"/>
  <c r="P43" i="3"/>
  <c r="T42" i="3"/>
  <c r="O42" i="3"/>
  <c r="M42" i="3"/>
  <c r="P42" i="3"/>
  <c r="T41" i="3"/>
  <c r="O41" i="3"/>
  <c r="M41" i="3"/>
  <c r="P41" i="3"/>
  <c r="T40" i="3"/>
  <c r="O40" i="3"/>
  <c r="M40" i="3"/>
  <c r="P40" i="3"/>
  <c r="T39" i="3"/>
  <c r="O39" i="3"/>
  <c r="M39" i="3"/>
  <c r="P39" i="3"/>
  <c r="T38" i="3"/>
  <c r="O38" i="3"/>
  <c r="M38" i="3"/>
  <c r="P38" i="3"/>
  <c r="T37" i="3"/>
  <c r="O37" i="3"/>
  <c r="M37" i="3"/>
  <c r="P37" i="3"/>
  <c r="R37" i="3"/>
  <c r="S37" i="3"/>
  <c r="T36" i="3"/>
  <c r="O36" i="3"/>
  <c r="M36" i="3"/>
  <c r="P36" i="3"/>
  <c r="R36" i="3"/>
  <c r="S36" i="3"/>
  <c r="T35" i="3"/>
  <c r="O35" i="3"/>
  <c r="M35" i="3"/>
  <c r="P35" i="3"/>
  <c r="R35" i="3"/>
  <c r="S35" i="3"/>
  <c r="T34" i="3"/>
  <c r="O34" i="3"/>
  <c r="M34" i="3"/>
  <c r="P34" i="3"/>
  <c r="R34" i="3"/>
  <c r="S34" i="3"/>
  <c r="T33" i="3"/>
  <c r="O33" i="3"/>
  <c r="M33" i="3"/>
  <c r="P33" i="3"/>
  <c r="R33" i="3"/>
  <c r="S33" i="3"/>
  <c r="T32" i="3"/>
  <c r="O32" i="3"/>
  <c r="M32" i="3"/>
  <c r="P32" i="3"/>
  <c r="R32" i="3"/>
  <c r="S32" i="3"/>
  <c r="T31" i="3"/>
  <c r="O31" i="3"/>
  <c r="M31" i="3"/>
  <c r="P31" i="3"/>
  <c r="R31" i="3"/>
  <c r="S31" i="3"/>
  <c r="T30" i="3"/>
  <c r="O30" i="3"/>
  <c r="M30" i="3"/>
  <c r="P30" i="3"/>
  <c r="R30" i="3"/>
  <c r="S30" i="3"/>
  <c r="T29" i="3"/>
  <c r="O29" i="3"/>
  <c r="M29" i="3"/>
  <c r="P29" i="3"/>
  <c r="R29" i="3"/>
  <c r="S29" i="3"/>
  <c r="T28" i="3"/>
  <c r="O28" i="3"/>
  <c r="M28" i="3"/>
  <c r="P28" i="3"/>
  <c r="R28" i="3"/>
  <c r="S28" i="3"/>
  <c r="T27" i="3"/>
  <c r="O27" i="3"/>
  <c r="M27" i="3"/>
  <c r="P27" i="3"/>
  <c r="R27" i="3"/>
  <c r="S27" i="3"/>
  <c r="O10" i="3"/>
  <c r="M10" i="3"/>
  <c r="P10" i="3"/>
  <c r="Q10" i="3"/>
  <c r="R10" i="3"/>
  <c r="S10" i="3"/>
  <c r="O11" i="3"/>
  <c r="M11" i="3"/>
  <c r="P11" i="3"/>
  <c r="Q11" i="3"/>
  <c r="R11" i="3"/>
  <c r="S11" i="3"/>
  <c r="O12" i="3"/>
  <c r="M12" i="3"/>
  <c r="P12" i="3"/>
  <c r="Q12" i="3"/>
  <c r="R12" i="3"/>
  <c r="S12" i="3"/>
  <c r="O13" i="3"/>
  <c r="M13" i="3"/>
  <c r="P13" i="3"/>
  <c r="Q13" i="3"/>
  <c r="R13" i="3"/>
  <c r="S13" i="3"/>
  <c r="O14" i="3"/>
  <c r="M14" i="3"/>
  <c r="P14" i="3"/>
  <c r="Q14" i="3"/>
  <c r="R14" i="3"/>
  <c r="S14" i="3"/>
  <c r="O15" i="3"/>
  <c r="M15" i="3"/>
  <c r="P15" i="3"/>
  <c r="Q15" i="3"/>
  <c r="R15" i="3"/>
  <c r="S15" i="3"/>
  <c r="O16" i="3"/>
  <c r="M16" i="3"/>
  <c r="P16" i="3"/>
  <c r="Q16" i="3"/>
  <c r="R16" i="3"/>
  <c r="S16" i="3"/>
  <c r="O17" i="3"/>
  <c r="M17" i="3"/>
  <c r="P17" i="3"/>
  <c r="Q17" i="3"/>
  <c r="R17" i="3"/>
  <c r="S17" i="3"/>
  <c r="O8" i="3"/>
  <c r="M8" i="3"/>
  <c r="P8" i="3"/>
  <c r="Q8" i="3"/>
  <c r="R8" i="3"/>
  <c r="O9" i="3"/>
  <c r="M9" i="3"/>
  <c r="P9" i="3"/>
  <c r="Q9" i="3"/>
  <c r="R9" i="3"/>
  <c r="O18" i="3"/>
  <c r="M18" i="3"/>
  <c r="P18" i="3"/>
  <c r="Q18" i="3"/>
  <c r="R18" i="3"/>
  <c r="O19" i="3"/>
  <c r="M19" i="3"/>
  <c r="P19" i="3"/>
  <c r="Q19" i="3"/>
  <c r="R19" i="3"/>
  <c r="O20" i="3"/>
  <c r="M20" i="3"/>
  <c r="P20" i="3"/>
  <c r="Q20" i="3"/>
  <c r="R20" i="3"/>
  <c r="O21" i="3"/>
  <c r="M21" i="3"/>
  <c r="P21" i="3"/>
  <c r="Q21" i="3"/>
  <c r="R21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" i="3"/>
  <c r="M25" i="3"/>
  <c r="O25" i="3"/>
  <c r="P25" i="3"/>
  <c r="Q25" i="3"/>
  <c r="R25" i="3"/>
  <c r="M22" i="3"/>
  <c r="O22" i="3"/>
  <c r="P22" i="3"/>
  <c r="Q22" i="3"/>
  <c r="R22" i="3"/>
  <c r="M23" i="3"/>
  <c r="O23" i="3"/>
  <c r="P23" i="3"/>
  <c r="Q23" i="3"/>
  <c r="R23" i="3"/>
  <c r="M24" i="3"/>
  <c r="O24" i="3"/>
  <c r="P24" i="3"/>
  <c r="Q24" i="3"/>
  <c r="R24" i="3"/>
  <c r="S19" i="3"/>
  <c r="U19" i="3"/>
  <c r="S20" i="3"/>
  <c r="U20" i="3"/>
  <c r="S21" i="3"/>
  <c r="U21" i="3"/>
  <c r="S22" i="3"/>
  <c r="U22" i="3"/>
  <c r="S23" i="3"/>
  <c r="U23" i="3"/>
  <c r="S24" i="3"/>
  <c r="U24" i="3"/>
  <c r="S25" i="3"/>
  <c r="U25" i="3"/>
  <c r="M2" i="3"/>
  <c r="M3" i="3"/>
  <c r="M4" i="3"/>
  <c r="M5" i="3"/>
  <c r="M6" i="3"/>
  <c r="M7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2" i="3"/>
  <c r="S18" i="3"/>
  <c r="S8" i="3"/>
  <c r="O3" i="3"/>
  <c r="P3" i="3"/>
  <c r="Q3" i="3"/>
  <c r="R3" i="3"/>
  <c r="S3" i="3"/>
  <c r="O4" i="3"/>
  <c r="P4" i="3"/>
  <c r="Q4" i="3"/>
  <c r="R4" i="3"/>
  <c r="S4" i="3"/>
  <c r="O5" i="3"/>
  <c r="P5" i="3"/>
  <c r="Q5" i="3"/>
  <c r="R5" i="3"/>
  <c r="S5" i="3"/>
  <c r="O6" i="3"/>
  <c r="P6" i="3"/>
  <c r="Q6" i="3"/>
  <c r="R6" i="3"/>
  <c r="S6" i="3"/>
  <c r="O7" i="3"/>
  <c r="P7" i="3"/>
  <c r="Q7" i="3"/>
  <c r="R7" i="3"/>
  <c r="S7" i="3"/>
  <c r="S9" i="3"/>
  <c r="O2" i="3"/>
  <c r="P2" i="3"/>
  <c r="Q2" i="3"/>
  <c r="R2" i="3"/>
  <c r="S2" i="3"/>
</calcChain>
</file>

<file path=xl/sharedStrings.xml><?xml version="1.0" encoding="utf-8"?>
<sst xmlns="http://schemas.openxmlformats.org/spreadsheetml/2006/main" count="397" uniqueCount="52">
  <si>
    <t>Core_ID</t>
  </si>
  <si>
    <t>Line_Number</t>
  </si>
  <si>
    <t>Time</t>
  </si>
  <si>
    <t>Date</t>
  </si>
  <si>
    <t>Tank</t>
  </si>
  <si>
    <t>NA</t>
  </si>
  <si>
    <t>Volume_of_water_mL</t>
  </si>
  <si>
    <t>Dilution_rate_D_min-1</t>
  </si>
  <si>
    <t>Height_2_cm</t>
  </si>
  <si>
    <t>Height_3_cm</t>
  </si>
  <si>
    <t>Height_4_cm</t>
  </si>
  <si>
    <t>Time_point</t>
  </si>
  <si>
    <t>Pump_setting</t>
  </si>
  <si>
    <t>Flow_rate_mL_min-1</t>
  </si>
  <si>
    <t>Water_column_height_1_cm</t>
  </si>
  <si>
    <t>Average_height_cm</t>
  </si>
  <si>
    <t>Core_diameter_cm</t>
  </si>
  <si>
    <t>Core_radius_cm</t>
  </si>
  <si>
    <t>Core_residence_time_min</t>
  </si>
  <si>
    <t>Core_residence_time_hr</t>
  </si>
  <si>
    <t>Flow_rate_L_hr</t>
  </si>
  <si>
    <t>Max</t>
  </si>
  <si>
    <t>Min</t>
  </si>
  <si>
    <t>26_fresh</t>
  </si>
  <si>
    <t>20_fresh</t>
  </si>
  <si>
    <t>08_fresh</t>
  </si>
  <si>
    <t>11_fresh</t>
  </si>
  <si>
    <t>02_fresh</t>
  </si>
  <si>
    <t>29_fresh</t>
  </si>
  <si>
    <t>05_fresh</t>
  </si>
  <si>
    <t>17_fresh</t>
  </si>
  <si>
    <t>23_fresh</t>
  </si>
  <si>
    <t>14_fresh</t>
  </si>
  <si>
    <t>32_fresh</t>
  </si>
  <si>
    <t>BP_fresh</t>
  </si>
  <si>
    <t>BP_salt</t>
  </si>
  <si>
    <t>09_salt</t>
  </si>
  <si>
    <t>30_salt</t>
  </si>
  <si>
    <t>15_salt</t>
  </si>
  <si>
    <t>27_salt</t>
  </si>
  <si>
    <t>33_salt</t>
  </si>
  <si>
    <t>06_salt</t>
  </si>
  <si>
    <t>03_salt</t>
  </si>
  <si>
    <t>12_salt</t>
  </si>
  <si>
    <t>18_salt</t>
  </si>
  <si>
    <t>24_salt</t>
  </si>
  <si>
    <t>21_salt</t>
  </si>
  <si>
    <t>fresh</t>
  </si>
  <si>
    <t>salt</t>
  </si>
  <si>
    <t>7.5 hrs before T1</t>
  </si>
  <si>
    <t>post-T3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</si>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</sst>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2" fontId="0" fillId="0" borderId="1" xfId="0" applyNumberFormat="1" applyBorder="1"/>
    <xf numFmtId="0" fontId="0" fillId="2" borderId="1" xfId="0" applyFill="1" applyBorder="1"/>
    <xf numFmtId="2" fontId="0" fillId="2" borderId="1" xfId="0" applyNumberFormat="1" applyFill="1" applyBorder="1"/>
    <xf numFmtId="0" fontId="0" fillId="2" borderId="0" xfId="0" applyFill="1"/>
    <xf numFmtId="0" fontId="0" fillId="0" borderId="2" xfId="0" applyBorder="1"/>
    <xf numFmtId="20" fontId="0" fillId="0" borderId="2" xfId="0" applyNumberFormat="1" applyBorder="1"/>
    <xf numFmtId="0" fontId="0" fillId="0" borderId="3" xfId="0" applyBorder="1"/>
    <xf numFmtId="164" fontId="0" fillId="0" borderId="0" xfId="0" applyNumberFormat="1"/>
    <xf numFmtId="164" fontId="0" fillId="2" borderId="0" xfId="0" applyNumberFormat="1" applyFill="1"/>
    <xf numFmtId="0" fontId="0" fillId="3" borderId="1" xfId="0" applyFill="1" applyBorder="1"/>
    <xf numFmtId="0" fontId="0" fillId="3" borderId="4" xfId="0" applyFill="1" applyBorder="1"/>
    <xf numFmtId="0" fontId="0" fillId="4" borderId="0" xfId="0" applyFill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D69C-A8E0-BC4E-A5A7-DAABE84415FA}">
  <dimension ref="A1:U54"/>
  <sheetViews>
    <sheetView topLeftCell="H24" zoomScale="120" zoomScaleNormal="120" workbookViewId="0">
      <selection activeCell="U55" sqref="U55"/>
    </sheetView>
  </sheetViews>
  <sheetFormatPr baseColWidth="10" defaultRowHeight="16" x14ac:dyDescent="0.2"/>
  <cols>
    <col min="1" max="1" width="11.83203125" bestFit="1" customWidth="1"/>
    <col min="2" max="2" width="5.1640625" bestFit="1" customWidth="1"/>
    <col min="3" max="3" width="8.1640625" bestFit="1" customWidth="1"/>
    <col min="4" max="4" width="7.5" bestFit="1" customWidth="1"/>
    <col min="5" max="5" width="12" bestFit="1" customWidth="1"/>
    <col min="6" max="6" width="18" bestFit="1" customWidth="1"/>
    <col min="7" max="7" width="5.6640625" bestFit="1" customWidth="1"/>
    <col min="8" max="8" width="14.33203125" bestFit="1" customWidth="1"/>
    <col min="9" max="9" width="24.33203125" bestFit="1" customWidth="1"/>
    <col min="10" max="12" width="11.6640625" bestFit="1" customWidth="1"/>
    <col min="13" max="13" width="16.83203125" bestFit="1" customWidth="1"/>
    <col min="14" max="14" width="17.1640625" bestFit="1" customWidth="1"/>
    <col min="15" max="15" width="14.83203125" bestFit="1" customWidth="1"/>
    <col min="16" max="16" width="18.33203125" bestFit="1" customWidth="1"/>
    <col min="17" max="17" width="19.6640625" bestFit="1" customWidth="1"/>
    <col min="18" max="18" width="22.6640625" bestFit="1" customWidth="1"/>
    <col min="19" max="19" width="21.1640625" bestFit="1" customWidth="1"/>
    <col min="20" max="20" width="8.1640625" bestFit="1" customWidth="1"/>
    <col min="21" max="21" width="13.33203125" bestFit="1" customWidth="1"/>
  </cols>
  <sheetData>
    <row r="1" spans="1:21" x14ac:dyDescent="0.2">
      <c r="A1" s="1" t="s">
        <v>1</v>
      </c>
      <c r="B1" s="1" t="s">
        <v>4</v>
      </c>
      <c r="C1" s="1" t="s">
        <v>0</v>
      </c>
      <c r="D1" s="1" t="s">
        <v>3</v>
      </c>
      <c r="E1" s="1" t="s">
        <v>12</v>
      </c>
      <c r="F1" s="1" t="s">
        <v>13</v>
      </c>
      <c r="G1" s="8" t="s">
        <v>2</v>
      </c>
      <c r="H1" s="1" t="s">
        <v>11</v>
      </c>
      <c r="I1" s="10" t="s">
        <v>14</v>
      </c>
      <c r="J1" s="1" t="s">
        <v>8</v>
      </c>
      <c r="K1" s="1" t="s">
        <v>9</v>
      </c>
      <c r="L1" s="1" t="s">
        <v>10</v>
      </c>
      <c r="M1" s="1" t="s">
        <v>15</v>
      </c>
      <c r="N1" s="1" t="s">
        <v>16</v>
      </c>
      <c r="O1" s="1" t="s">
        <v>17</v>
      </c>
      <c r="P1" s="1" t="s">
        <v>6</v>
      </c>
      <c r="Q1" s="1" t="s">
        <v>7</v>
      </c>
      <c r="R1" s="1" t="s">
        <v>18</v>
      </c>
      <c r="S1" s="1" t="s">
        <v>19</v>
      </c>
      <c r="T1" s="8" t="s">
        <v>0</v>
      </c>
      <c r="U1" s="1" t="s">
        <v>20</v>
      </c>
    </row>
    <row r="2" spans="1:21" x14ac:dyDescent="0.2">
      <c r="A2" s="1">
        <v>1</v>
      </c>
      <c r="B2" s="1" t="s">
        <v>47</v>
      </c>
      <c r="C2" s="1" t="s">
        <v>23</v>
      </c>
      <c r="D2" s="2">
        <v>46141</v>
      </c>
      <c r="E2" s="1">
        <v>1.5</v>
      </c>
      <c r="F2" s="3">
        <v>2.2000000000000002</v>
      </c>
      <c r="G2" s="9">
        <v>0.4375</v>
      </c>
      <c r="H2" s="1" t="s">
        <v>49</v>
      </c>
      <c r="I2" s="3">
        <v>7.4</v>
      </c>
      <c r="J2" s="3">
        <v>10.6</v>
      </c>
      <c r="K2" s="3">
        <v>8.9</v>
      </c>
      <c r="L2" s="3">
        <v>7.3</v>
      </c>
      <c r="M2" s="1">
        <f>AVERAGE(I2:L2)</f>
        <v>8.5499999999999989</v>
      </c>
      <c r="N2" s="1">
        <v>6.3</v>
      </c>
      <c r="O2" s="1">
        <f>N2/2</f>
        <v>3.15</v>
      </c>
      <c r="P2" s="1">
        <f>PI()*(O2^2)*M2</f>
        <v>266.52447404984235</v>
      </c>
      <c r="Q2" s="1">
        <f>F2/P2</f>
        <v>8.2544014310242352E-3</v>
      </c>
      <c r="R2" s="1">
        <f>1/Q2</f>
        <v>121.14748820447377</v>
      </c>
      <c r="S2" s="4">
        <f>R2/60</f>
        <v>2.0191248034078964</v>
      </c>
      <c r="T2" s="8" t="str">
        <f>C2</f>
        <v>26_fresh</v>
      </c>
      <c r="U2" s="1">
        <f>F2*(1/1000)*(60/1)</f>
        <v>0.13200000000000001</v>
      </c>
    </row>
    <row r="3" spans="1:21" x14ac:dyDescent="0.2">
      <c r="A3" s="1">
        <v>2</v>
      </c>
      <c r="B3" s="1" t="s">
        <v>47</v>
      </c>
      <c r="C3" s="1" t="s">
        <v>24</v>
      </c>
      <c r="D3" s="2">
        <v>46141</v>
      </c>
      <c r="E3" s="1">
        <v>1.5</v>
      </c>
      <c r="F3" s="3">
        <v>2.6</v>
      </c>
      <c r="G3" s="9">
        <v>0.4375</v>
      </c>
      <c r="H3" s="1" t="s">
        <v>49</v>
      </c>
      <c r="I3" s="3">
        <v>9</v>
      </c>
      <c r="J3" s="3">
        <v>8.6</v>
      </c>
      <c r="K3" s="3">
        <v>9.6999999999999993</v>
      </c>
      <c r="L3" s="3">
        <v>9</v>
      </c>
      <c r="M3" s="1">
        <f t="shared" ref="M3:M25" si="0">AVERAGE(I3:L3)</f>
        <v>9.0749999999999993</v>
      </c>
      <c r="N3" s="1">
        <v>6.3</v>
      </c>
      <c r="O3" s="1">
        <f t="shared" ref="O3:O25" si="1">N3/2</f>
        <v>3.15</v>
      </c>
      <c r="P3" s="1">
        <f t="shared" ref="P3:P25" si="2">PI()*(O3^2)*M3</f>
        <v>282.8900119300958</v>
      </c>
      <c r="Q3" s="1">
        <f t="shared" ref="Q3:Q50" si="3">F3/P3</f>
        <v>9.1908511801486979E-3</v>
      </c>
      <c r="R3" s="1">
        <f t="shared" ref="R3:R25" si="4">1/Q3</f>
        <v>108.80385074234452</v>
      </c>
      <c r="S3" s="4">
        <f t="shared" ref="S3:S18" si="5">R3/60</f>
        <v>1.8133975123724086</v>
      </c>
      <c r="T3" s="8" t="str">
        <f t="shared" ref="T3:T25" si="6">C3</f>
        <v>20_fresh</v>
      </c>
      <c r="U3" s="1">
        <f t="shared" ref="U3:U18" si="7">F3*(1/1000)*(60/1)</f>
        <v>0.15600000000000003</v>
      </c>
    </row>
    <row r="4" spans="1:21" x14ac:dyDescent="0.2">
      <c r="A4" s="1">
        <v>3</v>
      </c>
      <c r="B4" s="1" t="s">
        <v>47</v>
      </c>
      <c r="C4" s="1" t="s">
        <v>25</v>
      </c>
      <c r="D4" s="2">
        <v>46141</v>
      </c>
      <c r="E4" s="1">
        <v>1.5</v>
      </c>
      <c r="F4" s="3">
        <v>2</v>
      </c>
      <c r="G4" s="9">
        <v>0.4375</v>
      </c>
      <c r="H4" s="1" t="s">
        <v>49</v>
      </c>
      <c r="I4" s="3">
        <v>11</v>
      </c>
      <c r="J4" s="3">
        <v>11</v>
      </c>
      <c r="K4" s="3">
        <v>11.3</v>
      </c>
      <c r="L4" s="3">
        <v>10.3</v>
      </c>
      <c r="M4" s="1">
        <f t="shared" si="0"/>
        <v>10.899999999999999</v>
      </c>
      <c r="N4" s="1">
        <v>6.3</v>
      </c>
      <c r="O4" s="1">
        <f t="shared" si="1"/>
        <v>3.15</v>
      </c>
      <c r="P4" s="1">
        <f t="shared" si="2"/>
        <v>339.77973884716744</v>
      </c>
      <c r="Q4" s="1">
        <f t="shared" si="3"/>
        <v>5.8861661580698246E-3</v>
      </c>
      <c r="R4" s="1">
        <f t="shared" si="4"/>
        <v>169.88986942358372</v>
      </c>
      <c r="S4" s="4">
        <f t="shared" si="5"/>
        <v>2.8314978237263952</v>
      </c>
      <c r="T4" s="8" t="str">
        <f t="shared" si="6"/>
        <v>08_fresh</v>
      </c>
      <c r="U4" s="1">
        <f t="shared" si="7"/>
        <v>0.12</v>
      </c>
    </row>
    <row r="5" spans="1:21" x14ac:dyDescent="0.2">
      <c r="A5" s="1">
        <v>4</v>
      </c>
      <c r="B5" s="1" t="s">
        <v>47</v>
      </c>
      <c r="C5" s="1" t="s">
        <v>26</v>
      </c>
      <c r="D5" s="2">
        <v>46141</v>
      </c>
      <c r="E5" s="1">
        <v>1.5</v>
      </c>
      <c r="F5" s="3">
        <v>1.8</v>
      </c>
      <c r="G5" s="9">
        <v>0.4375</v>
      </c>
      <c r="H5" s="1" t="s">
        <v>49</v>
      </c>
      <c r="I5" s="3">
        <v>10</v>
      </c>
      <c r="J5" s="3">
        <v>10.4</v>
      </c>
      <c r="K5" s="3">
        <v>9.6999999999999993</v>
      </c>
      <c r="L5" s="3">
        <v>9.4</v>
      </c>
      <c r="M5" s="1">
        <f t="shared" si="0"/>
        <v>9.875</v>
      </c>
      <c r="N5" s="1">
        <v>6.3</v>
      </c>
      <c r="O5" s="1">
        <f t="shared" si="1"/>
        <v>3.15</v>
      </c>
      <c r="P5" s="1">
        <f t="shared" si="2"/>
        <v>307.82797441429159</v>
      </c>
      <c r="Q5" s="1">
        <f t="shared" si="3"/>
        <v>5.8474217732318971E-3</v>
      </c>
      <c r="R5" s="1">
        <f t="shared" si="4"/>
        <v>171.01554134127312</v>
      </c>
      <c r="S5" s="4">
        <f t="shared" si="5"/>
        <v>2.8502590223545519</v>
      </c>
      <c r="T5" s="8" t="str">
        <f t="shared" si="6"/>
        <v>11_fresh</v>
      </c>
      <c r="U5" s="1">
        <f t="shared" si="7"/>
        <v>0.10800000000000001</v>
      </c>
    </row>
    <row r="6" spans="1:21" x14ac:dyDescent="0.2">
      <c r="A6" s="1">
        <v>5</v>
      </c>
      <c r="B6" s="1" t="s">
        <v>47</v>
      </c>
      <c r="C6" s="1" t="s">
        <v>27</v>
      </c>
      <c r="D6" s="2">
        <v>46141</v>
      </c>
      <c r="E6" s="1">
        <v>1.5</v>
      </c>
      <c r="F6" s="3">
        <v>2</v>
      </c>
      <c r="G6" s="9">
        <v>0.4375</v>
      </c>
      <c r="H6" s="1" t="s">
        <v>49</v>
      </c>
      <c r="I6" s="3">
        <v>10.8</v>
      </c>
      <c r="J6" s="3">
        <v>10.199999999999999</v>
      </c>
      <c r="K6" s="3">
        <v>10.4</v>
      </c>
      <c r="L6" s="3">
        <v>11.6</v>
      </c>
      <c r="M6" s="1">
        <f t="shared" si="0"/>
        <v>10.75</v>
      </c>
      <c r="N6" s="1">
        <v>6.3</v>
      </c>
      <c r="O6" s="1">
        <f t="shared" si="1"/>
        <v>3.15</v>
      </c>
      <c r="P6" s="1">
        <f t="shared" si="2"/>
        <v>335.10387088138077</v>
      </c>
      <c r="Q6" s="1">
        <f t="shared" si="3"/>
        <v>5.9682987091126587E-3</v>
      </c>
      <c r="R6" s="1">
        <f t="shared" si="4"/>
        <v>167.55193544069039</v>
      </c>
      <c r="S6" s="4">
        <f t="shared" si="5"/>
        <v>2.7925322573448397</v>
      </c>
      <c r="T6" s="8" t="str">
        <f t="shared" si="6"/>
        <v>02_fresh</v>
      </c>
      <c r="U6" s="1">
        <f t="shared" si="7"/>
        <v>0.12</v>
      </c>
    </row>
    <row r="7" spans="1:21" x14ac:dyDescent="0.2">
      <c r="A7" s="1">
        <v>6</v>
      </c>
      <c r="B7" s="1" t="s">
        <v>47</v>
      </c>
      <c r="C7" s="1" t="s">
        <v>28</v>
      </c>
      <c r="D7" s="2">
        <v>46141</v>
      </c>
      <c r="E7" s="1">
        <v>1.5</v>
      </c>
      <c r="F7" s="3">
        <v>1.9</v>
      </c>
      <c r="G7" s="9">
        <v>0.4375</v>
      </c>
      <c r="H7" s="1" t="s">
        <v>49</v>
      </c>
      <c r="I7" s="3">
        <v>9.5</v>
      </c>
      <c r="J7" s="3">
        <v>9</v>
      </c>
      <c r="K7" s="3">
        <v>9.4</v>
      </c>
      <c r="L7" s="3">
        <v>9</v>
      </c>
      <c r="M7" s="1">
        <f t="shared" si="0"/>
        <v>9.2249999999999996</v>
      </c>
      <c r="N7" s="1">
        <v>6.3</v>
      </c>
      <c r="O7" s="1">
        <f t="shared" si="1"/>
        <v>3.15</v>
      </c>
      <c r="P7" s="1">
        <f t="shared" si="2"/>
        <v>287.56587989588252</v>
      </c>
      <c r="Q7" s="1">
        <f t="shared" si="3"/>
        <v>6.6071816332588656E-3</v>
      </c>
      <c r="R7" s="1">
        <f t="shared" si="4"/>
        <v>151.35046310309608</v>
      </c>
      <c r="S7" s="4">
        <f t="shared" si="5"/>
        <v>2.5225077183849347</v>
      </c>
      <c r="T7" s="8" t="str">
        <f t="shared" si="6"/>
        <v>29_fresh</v>
      </c>
      <c r="U7" s="1">
        <f t="shared" si="7"/>
        <v>0.114</v>
      </c>
    </row>
    <row r="8" spans="1:21" x14ac:dyDescent="0.2">
      <c r="A8" s="1">
        <v>7</v>
      </c>
      <c r="B8" s="1" t="s">
        <v>47</v>
      </c>
      <c r="C8" s="1" t="s">
        <v>29</v>
      </c>
      <c r="D8" s="2">
        <v>46141</v>
      </c>
      <c r="E8" s="1">
        <v>1.5</v>
      </c>
      <c r="F8" s="3">
        <v>1.5</v>
      </c>
      <c r="G8" s="9">
        <v>0.4375</v>
      </c>
      <c r="H8" s="1" t="s">
        <v>49</v>
      </c>
      <c r="I8" s="3">
        <v>10.1</v>
      </c>
      <c r="J8" s="3">
        <v>9.8000000000000007</v>
      </c>
      <c r="K8" s="3">
        <v>10.7</v>
      </c>
      <c r="L8" s="3">
        <v>10.5</v>
      </c>
      <c r="M8" s="1">
        <f t="shared" si="0"/>
        <v>10.274999999999999</v>
      </c>
      <c r="N8" s="1">
        <v>6.3</v>
      </c>
      <c r="O8" s="1">
        <f t="shared" si="1"/>
        <v>3.15</v>
      </c>
      <c r="P8" s="1">
        <f t="shared" si="2"/>
        <v>320.29695565638946</v>
      </c>
      <c r="Q8" s="1">
        <f t="shared" si="3"/>
        <v>4.6831540965665032E-3</v>
      </c>
      <c r="R8" s="1">
        <f t="shared" si="4"/>
        <v>213.53130377092631</v>
      </c>
      <c r="S8" s="4">
        <f t="shared" si="5"/>
        <v>3.5588550628487718</v>
      </c>
      <c r="T8" s="8" t="str">
        <f t="shared" si="6"/>
        <v>05_fresh</v>
      </c>
      <c r="U8" s="1">
        <f t="shared" si="7"/>
        <v>0.09</v>
      </c>
    </row>
    <row r="9" spans="1:21" x14ac:dyDescent="0.2">
      <c r="A9" s="1">
        <v>8</v>
      </c>
      <c r="B9" s="1" t="s">
        <v>47</v>
      </c>
      <c r="C9" s="1" t="s">
        <v>30</v>
      </c>
      <c r="D9" s="2">
        <v>46141</v>
      </c>
      <c r="E9" s="1">
        <v>1.5</v>
      </c>
      <c r="F9" s="3">
        <v>2.4</v>
      </c>
      <c r="G9" s="9">
        <v>0.4375</v>
      </c>
      <c r="H9" s="1" t="s">
        <v>49</v>
      </c>
      <c r="I9" s="3">
        <v>10.199999999999999</v>
      </c>
      <c r="J9" s="3">
        <v>10.9</v>
      </c>
      <c r="K9" s="3">
        <v>10.1</v>
      </c>
      <c r="L9" s="3">
        <v>10.3</v>
      </c>
      <c r="M9" s="1">
        <f t="shared" si="0"/>
        <v>10.375</v>
      </c>
      <c r="N9" s="1">
        <v>6.3</v>
      </c>
      <c r="O9" s="1">
        <f t="shared" si="1"/>
        <v>3.15</v>
      </c>
      <c r="P9" s="1">
        <f t="shared" si="2"/>
        <v>323.414200966914</v>
      </c>
      <c r="Q9" s="1">
        <f t="shared" si="3"/>
        <v>7.4208244190412821E-3</v>
      </c>
      <c r="R9" s="1">
        <f t="shared" si="4"/>
        <v>134.75591706954751</v>
      </c>
      <c r="S9" s="4">
        <f t="shared" si="5"/>
        <v>2.2459319511591249</v>
      </c>
      <c r="T9" s="8" t="str">
        <f t="shared" si="6"/>
        <v>17_fresh</v>
      </c>
      <c r="U9" s="1">
        <f t="shared" si="7"/>
        <v>0.14399999999999999</v>
      </c>
    </row>
    <row r="10" spans="1:21" x14ac:dyDescent="0.2">
      <c r="A10" s="1">
        <v>9</v>
      </c>
      <c r="B10" s="1" t="s">
        <v>47</v>
      </c>
      <c r="C10" s="1" t="s">
        <v>31</v>
      </c>
      <c r="D10" s="2">
        <v>46141</v>
      </c>
      <c r="E10" s="1">
        <v>1.5</v>
      </c>
      <c r="F10" s="3">
        <v>1.1000000000000001</v>
      </c>
      <c r="G10" s="9">
        <v>0.4375</v>
      </c>
      <c r="H10" s="1" t="s">
        <v>49</v>
      </c>
      <c r="I10" s="3">
        <v>9.8000000000000007</v>
      </c>
      <c r="J10" s="3">
        <v>9.6</v>
      </c>
      <c r="K10" s="3">
        <v>9.6</v>
      </c>
      <c r="L10" s="3">
        <v>9.6999999999999993</v>
      </c>
      <c r="M10" s="1">
        <f t="shared" si="0"/>
        <v>9.6750000000000007</v>
      </c>
      <c r="N10" s="1">
        <v>6.3</v>
      </c>
      <c r="O10" s="1">
        <f t="shared" si="1"/>
        <v>3.15</v>
      </c>
      <c r="P10" s="1">
        <f t="shared" si="2"/>
        <v>301.59348379324268</v>
      </c>
      <c r="Q10" s="1">
        <f t="shared" si="3"/>
        <v>3.6472936555688477E-3</v>
      </c>
      <c r="R10" s="1">
        <f t="shared" si="4"/>
        <v>274.17589435749329</v>
      </c>
      <c r="S10" s="4">
        <f t="shared" si="5"/>
        <v>4.5695982392915546</v>
      </c>
      <c r="T10" s="8" t="str">
        <f t="shared" si="6"/>
        <v>23_fresh</v>
      </c>
      <c r="U10" s="1">
        <f t="shared" si="7"/>
        <v>6.6000000000000003E-2</v>
      </c>
    </row>
    <row r="11" spans="1:21" x14ac:dyDescent="0.2">
      <c r="A11" s="1">
        <v>10</v>
      </c>
      <c r="B11" s="1" t="s">
        <v>47</v>
      </c>
      <c r="C11" s="1" t="s">
        <v>32</v>
      </c>
      <c r="D11" s="2">
        <v>46141</v>
      </c>
      <c r="E11" s="1">
        <v>1.5</v>
      </c>
      <c r="F11" s="3">
        <v>2.8</v>
      </c>
      <c r="G11" s="9">
        <v>0.4375</v>
      </c>
      <c r="H11" s="1" t="s">
        <v>49</v>
      </c>
      <c r="I11" s="3">
        <v>12.1</v>
      </c>
      <c r="J11" s="3">
        <v>12.3</v>
      </c>
      <c r="K11" s="3">
        <v>12.9</v>
      </c>
      <c r="L11" s="3">
        <v>13.2</v>
      </c>
      <c r="M11" s="13">
        <f t="shared" si="0"/>
        <v>12.625</v>
      </c>
      <c r="N11" s="1">
        <v>6.3</v>
      </c>
      <c r="O11" s="1">
        <f t="shared" si="1"/>
        <v>3.15</v>
      </c>
      <c r="P11" s="1">
        <f t="shared" si="2"/>
        <v>393.5522204537146</v>
      </c>
      <c r="Q11" s="1">
        <f t="shared" si="3"/>
        <v>7.1146847977937048E-3</v>
      </c>
      <c r="R11" s="1">
        <f t="shared" si="4"/>
        <v>140.5543644477552</v>
      </c>
      <c r="S11" s="4">
        <f t="shared" si="5"/>
        <v>2.3425727407959203</v>
      </c>
      <c r="T11" s="8" t="str">
        <f t="shared" si="6"/>
        <v>14_fresh</v>
      </c>
      <c r="U11" s="1">
        <f t="shared" si="7"/>
        <v>0.16800000000000001</v>
      </c>
    </row>
    <row r="12" spans="1:21" x14ac:dyDescent="0.2">
      <c r="A12" s="1">
        <v>11</v>
      </c>
      <c r="B12" s="1" t="s">
        <v>47</v>
      </c>
      <c r="C12" s="1" t="s">
        <v>33</v>
      </c>
      <c r="D12" s="2">
        <v>46141</v>
      </c>
      <c r="E12" s="1">
        <v>1.5</v>
      </c>
      <c r="F12" s="3">
        <v>1.3</v>
      </c>
      <c r="G12" s="9">
        <v>0.4375</v>
      </c>
      <c r="H12" s="1" t="s">
        <v>49</v>
      </c>
      <c r="I12" s="3">
        <v>8.3000000000000007</v>
      </c>
      <c r="J12" s="3">
        <v>7</v>
      </c>
      <c r="K12" s="3">
        <v>7.9</v>
      </c>
      <c r="L12" s="3">
        <v>8.3000000000000007</v>
      </c>
      <c r="M12" s="16">
        <f t="shared" si="0"/>
        <v>7.8750000000000009</v>
      </c>
      <c r="N12" s="1">
        <v>6.3</v>
      </c>
      <c r="O12" s="1">
        <f t="shared" si="1"/>
        <v>3.15</v>
      </c>
      <c r="P12" s="1">
        <f t="shared" si="2"/>
        <v>245.48306820380219</v>
      </c>
      <c r="Q12" s="1">
        <f t="shared" si="3"/>
        <v>5.2956809180856766E-3</v>
      </c>
      <c r="R12" s="1">
        <f t="shared" si="4"/>
        <v>188.83312938754017</v>
      </c>
      <c r="S12" s="4">
        <f t="shared" si="5"/>
        <v>3.1472188231256695</v>
      </c>
      <c r="T12" s="8" t="str">
        <f t="shared" si="6"/>
        <v>32_fresh</v>
      </c>
      <c r="U12" s="1">
        <f t="shared" si="7"/>
        <v>7.8000000000000014E-2</v>
      </c>
    </row>
    <row r="13" spans="1:21" x14ac:dyDescent="0.2">
      <c r="A13" s="1">
        <v>12</v>
      </c>
      <c r="B13" s="1" t="s">
        <v>47</v>
      </c>
      <c r="C13" s="1" t="s">
        <v>34</v>
      </c>
      <c r="D13" s="2">
        <v>46141</v>
      </c>
      <c r="E13" s="1">
        <v>1.5</v>
      </c>
      <c r="F13" s="3">
        <v>0.9</v>
      </c>
      <c r="G13" s="9">
        <v>0.4375</v>
      </c>
      <c r="H13" s="1" t="s">
        <v>49</v>
      </c>
      <c r="I13" s="1" t="s">
        <v>5</v>
      </c>
      <c r="J13" s="1" t="s">
        <v>5</v>
      </c>
      <c r="K13" s="1" t="s">
        <v>5</v>
      </c>
      <c r="L13" s="1" t="s">
        <v>5</v>
      </c>
      <c r="M13" s="1" t="e">
        <f t="shared" si="0"/>
        <v>#DIV/0!</v>
      </c>
      <c r="N13" s="1" t="s">
        <v>5</v>
      </c>
      <c r="O13" s="1" t="e">
        <f t="shared" si="1"/>
        <v>#VALUE!</v>
      </c>
      <c r="P13" s="1" t="e">
        <f t="shared" si="2"/>
        <v>#VALUE!</v>
      </c>
      <c r="Q13" s="1" t="e">
        <f t="shared" si="3"/>
        <v>#VALUE!</v>
      </c>
      <c r="R13" s="1" t="e">
        <f t="shared" si="4"/>
        <v>#VALUE!</v>
      </c>
      <c r="S13" s="4" t="e">
        <f t="shared" si="5"/>
        <v>#VALUE!</v>
      </c>
      <c r="T13" s="8" t="str">
        <f t="shared" si="6"/>
        <v>BP_fresh</v>
      </c>
      <c r="U13" s="1">
        <f t="shared" si="7"/>
        <v>5.4000000000000006E-2</v>
      </c>
    </row>
    <row r="14" spans="1:21" x14ac:dyDescent="0.2">
      <c r="A14" s="1">
        <v>13</v>
      </c>
      <c r="B14" s="1" t="s">
        <v>48</v>
      </c>
      <c r="C14" s="1" t="s">
        <v>35</v>
      </c>
      <c r="D14" s="2">
        <v>46141</v>
      </c>
      <c r="E14" s="1">
        <v>1.5</v>
      </c>
      <c r="F14" s="3">
        <v>2</v>
      </c>
      <c r="G14" s="9">
        <v>0.4375</v>
      </c>
      <c r="H14" s="1" t="s">
        <v>49</v>
      </c>
      <c r="I14" s="1" t="s">
        <v>5</v>
      </c>
      <c r="J14" s="1" t="s">
        <v>5</v>
      </c>
      <c r="K14" s="1" t="s">
        <v>5</v>
      </c>
      <c r="L14" s="1" t="s">
        <v>5</v>
      </c>
      <c r="M14" s="1" t="e">
        <f t="shared" si="0"/>
        <v>#DIV/0!</v>
      </c>
      <c r="N14" s="1" t="s">
        <v>5</v>
      </c>
      <c r="O14" s="1" t="e">
        <f t="shared" si="1"/>
        <v>#VALUE!</v>
      </c>
      <c r="P14" s="1" t="e">
        <f t="shared" si="2"/>
        <v>#VALUE!</v>
      </c>
      <c r="Q14" s="1" t="e">
        <f t="shared" si="3"/>
        <v>#VALUE!</v>
      </c>
      <c r="R14" s="1" t="e">
        <f t="shared" si="4"/>
        <v>#VALUE!</v>
      </c>
      <c r="S14" s="4" t="e">
        <f t="shared" si="5"/>
        <v>#VALUE!</v>
      </c>
      <c r="T14" s="8" t="str">
        <f t="shared" si="6"/>
        <v>BP_salt</v>
      </c>
      <c r="U14" s="1">
        <f t="shared" si="7"/>
        <v>0.12</v>
      </c>
    </row>
    <row r="15" spans="1:21" x14ac:dyDescent="0.2">
      <c r="A15" s="1">
        <v>14</v>
      </c>
      <c r="B15" s="1" t="s">
        <v>48</v>
      </c>
      <c r="C15" s="1" t="s">
        <v>36</v>
      </c>
      <c r="D15" s="2">
        <v>46141</v>
      </c>
      <c r="E15" s="1">
        <v>1.5</v>
      </c>
      <c r="F15" s="3">
        <v>0.9</v>
      </c>
      <c r="G15" s="9">
        <v>0.4375</v>
      </c>
      <c r="H15" s="1" t="s">
        <v>49</v>
      </c>
      <c r="I15" s="3">
        <v>9.1</v>
      </c>
      <c r="J15" s="3">
        <v>9.6</v>
      </c>
      <c r="K15" s="3">
        <v>9.3000000000000007</v>
      </c>
      <c r="L15" s="3">
        <v>8.6999999999999993</v>
      </c>
      <c r="M15" s="1">
        <f t="shared" si="0"/>
        <v>9.1750000000000007</v>
      </c>
      <c r="N15" s="1">
        <v>6.3</v>
      </c>
      <c r="O15" s="1">
        <f t="shared" si="1"/>
        <v>3.15</v>
      </c>
      <c r="P15" s="1">
        <f t="shared" si="2"/>
        <v>286.00725724062033</v>
      </c>
      <c r="Q15" s="1">
        <f t="shared" si="3"/>
        <v>3.1467732975839226E-3</v>
      </c>
      <c r="R15" s="1">
        <f t="shared" si="4"/>
        <v>317.78584137846701</v>
      </c>
      <c r="S15" s="4">
        <f t="shared" si="5"/>
        <v>5.2964306896411166</v>
      </c>
      <c r="T15" s="8" t="str">
        <f t="shared" si="6"/>
        <v>09_salt</v>
      </c>
      <c r="U15" s="1">
        <f t="shared" si="7"/>
        <v>5.4000000000000006E-2</v>
      </c>
    </row>
    <row r="16" spans="1:21" x14ac:dyDescent="0.2">
      <c r="A16" s="1">
        <v>15</v>
      </c>
      <c r="B16" s="1" t="s">
        <v>48</v>
      </c>
      <c r="C16" s="1" t="s">
        <v>37</v>
      </c>
      <c r="D16" s="2">
        <v>46141</v>
      </c>
      <c r="E16" s="1">
        <v>1.5</v>
      </c>
      <c r="F16" s="3">
        <v>1</v>
      </c>
      <c r="G16" s="9">
        <v>0.4375</v>
      </c>
      <c r="H16" s="1" t="s">
        <v>49</v>
      </c>
      <c r="I16" s="3">
        <v>10.8</v>
      </c>
      <c r="J16" s="3">
        <v>10.7</v>
      </c>
      <c r="K16" s="3">
        <v>10.3</v>
      </c>
      <c r="L16" s="3">
        <v>10.9</v>
      </c>
      <c r="M16" s="1">
        <f t="shared" si="0"/>
        <v>10.675000000000001</v>
      </c>
      <c r="N16" s="1">
        <v>6.3</v>
      </c>
      <c r="O16" s="1">
        <f t="shared" si="1"/>
        <v>3.15</v>
      </c>
      <c r="P16" s="1">
        <f t="shared" si="2"/>
        <v>332.76593689848744</v>
      </c>
      <c r="Q16" s="1">
        <f t="shared" si="3"/>
        <v>3.005115275080144E-3</v>
      </c>
      <c r="R16" s="1">
        <f t="shared" si="4"/>
        <v>332.76593689848744</v>
      </c>
      <c r="S16" s="4">
        <f t="shared" si="5"/>
        <v>5.5460989483081242</v>
      </c>
      <c r="T16" s="8" t="str">
        <f t="shared" si="6"/>
        <v>30_salt</v>
      </c>
      <c r="U16" s="1">
        <f t="shared" si="7"/>
        <v>0.06</v>
      </c>
    </row>
    <row r="17" spans="1:21" x14ac:dyDescent="0.2">
      <c r="A17" s="1">
        <v>16</v>
      </c>
      <c r="B17" s="1" t="s">
        <v>48</v>
      </c>
      <c r="C17" s="1" t="s">
        <v>38</v>
      </c>
      <c r="D17" s="2">
        <v>46141</v>
      </c>
      <c r="E17" s="1">
        <v>1.5</v>
      </c>
      <c r="F17" s="3">
        <v>2.4</v>
      </c>
      <c r="G17" s="9">
        <v>0.4375</v>
      </c>
      <c r="H17" s="1" t="s">
        <v>49</v>
      </c>
      <c r="I17" s="3">
        <v>11</v>
      </c>
      <c r="J17" s="3">
        <v>10.8</v>
      </c>
      <c r="K17" s="3">
        <v>10.6</v>
      </c>
      <c r="L17" s="3">
        <v>11.2</v>
      </c>
      <c r="M17" s="1">
        <f t="shared" si="0"/>
        <v>10.899999999999999</v>
      </c>
      <c r="N17" s="1">
        <v>6.3</v>
      </c>
      <c r="O17" s="1">
        <f t="shared" si="1"/>
        <v>3.15</v>
      </c>
      <c r="P17" s="1">
        <f t="shared" si="2"/>
        <v>339.77973884716744</v>
      </c>
      <c r="Q17" s="1">
        <f t="shared" si="3"/>
        <v>7.0633993896837893E-3</v>
      </c>
      <c r="R17" s="1">
        <f t="shared" si="4"/>
        <v>141.57489118631977</v>
      </c>
      <c r="S17" s="4">
        <f t="shared" si="5"/>
        <v>2.359581519771996</v>
      </c>
      <c r="T17" s="8" t="str">
        <f t="shared" si="6"/>
        <v>15_salt</v>
      </c>
      <c r="U17" s="1">
        <f t="shared" si="7"/>
        <v>0.14399999999999999</v>
      </c>
    </row>
    <row r="18" spans="1:21" x14ac:dyDescent="0.2">
      <c r="A18" s="1">
        <v>17</v>
      </c>
      <c r="B18" s="1" t="s">
        <v>48</v>
      </c>
      <c r="C18" s="1" t="s">
        <v>39</v>
      </c>
      <c r="D18" s="2">
        <v>46141</v>
      </c>
      <c r="E18" s="1">
        <v>1.5</v>
      </c>
      <c r="F18" s="3">
        <v>0.9</v>
      </c>
      <c r="G18" s="9">
        <v>0.4375</v>
      </c>
      <c r="H18" s="1" t="s">
        <v>49</v>
      </c>
      <c r="I18" s="3">
        <v>10.9</v>
      </c>
      <c r="J18" s="3">
        <v>10.199999999999999</v>
      </c>
      <c r="K18" s="3">
        <v>9.6999999999999993</v>
      </c>
      <c r="L18" s="3">
        <v>10.6</v>
      </c>
      <c r="M18" s="1">
        <f t="shared" si="0"/>
        <v>10.35</v>
      </c>
      <c r="N18" s="1">
        <v>6.3</v>
      </c>
      <c r="O18" s="1">
        <f t="shared" si="1"/>
        <v>3.15</v>
      </c>
      <c r="P18" s="1">
        <f t="shared" si="2"/>
        <v>322.63488963928285</v>
      </c>
      <c r="Q18" s="1">
        <f t="shared" si="3"/>
        <v>2.7895309183896128E-3</v>
      </c>
      <c r="R18" s="1">
        <f t="shared" si="4"/>
        <v>358.48321071031427</v>
      </c>
      <c r="S18" s="4">
        <f t="shared" si="5"/>
        <v>5.9747201785052377</v>
      </c>
      <c r="T18" s="8" t="str">
        <f t="shared" si="6"/>
        <v>27_salt</v>
      </c>
      <c r="U18" s="1">
        <f t="shared" si="7"/>
        <v>5.4000000000000006E-2</v>
      </c>
    </row>
    <row r="19" spans="1:21" x14ac:dyDescent="0.2">
      <c r="A19" s="1">
        <v>18</v>
      </c>
      <c r="B19" s="1" t="s">
        <v>48</v>
      </c>
      <c r="C19" s="1" t="s">
        <v>40</v>
      </c>
      <c r="D19" s="2">
        <v>46141</v>
      </c>
      <c r="E19" s="1">
        <v>1.5</v>
      </c>
      <c r="F19" s="3">
        <v>2.2000000000000002</v>
      </c>
      <c r="G19" s="9">
        <v>0.4375</v>
      </c>
      <c r="H19" s="1" t="s">
        <v>49</v>
      </c>
      <c r="I19" s="3">
        <v>9.5</v>
      </c>
      <c r="J19" s="3">
        <v>9.5</v>
      </c>
      <c r="K19" s="3">
        <v>9.1999999999999993</v>
      </c>
      <c r="L19" s="3">
        <v>9.1999999999999993</v>
      </c>
      <c r="M19" s="1">
        <f t="shared" si="0"/>
        <v>9.35</v>
      </c>
      <c r="N19" s="1">
        <v>6.3</v>
      </c>
      <c r="O19" s="1">
        <f t="shared" si="1"/>
        <v>3.15</v>
      </c>
      <c r="P19" s="1">
        <f t="shared" si="2"/>
        <v>291.46243653403815</v>
      </c>
      <c r="Q19" s="1">
        <f t="shared" si="3"/>
        <v>7.5481424850542458E-3</v>
      </c>
      <c r="R19" s="1">
        <f t="shared" si="4"/>
        <v>132.48292569729006</v>
      </c>
      <c r="S19" s="4">
        <f t="shared" ref="S19:S25" si="8">R19/60</f>
        <v>2.2080487616215008</v>
      </c>
      <c r="T19" s="8" t="str">
        <f t="shared" si="6"/>
        <v>33_salt</v>
      </c>
      <c r="U19" s="1">
        <f t="shared" ref="U19:U50" si="9">F19*(1/1000)*(60/1)</f>
        <v>0.13200000000000001</v>
      </c>
    </row>
    <row r="20" spans="1:21" x14ac:dyDescent="0.2">
      <c r="A20" s="1">
        <v>19</v>
      </c>
      <c r="B20" s="1" t="s">
        <v>48</v>
      </c>
      <c r="C20" s="1" t="s">
        <v>41</v>
      </c>
      <c r="D20" s="2">
        <v>46141</v>
      </c>
      <c r="E20" s="1">
        <v>1.5</v>
      </c>
      <c r="F20" s="3">
        <v>1.1000000000000001</v>
      </c>
      <c r="G20" s="9">
        <v>0.4375</v>
      </c>
      <c r="H20" s="1" t="s">
        <v>49</v>
      </c>
      <c r="I20" s="3">
        <v>10.9</v>
      </c>
      <c r="J20" s="3">
        <v>10.5</v>
      </c>
      <c r="K20" s="3">
        <v>11.2</v>
      </c>
      <c r="L20" s="3">
        <v>11.1</v>
      </c>
      <c r="M20" s="1">
        <f t="shared" si="0"/>
        <v>10.924999999999999</v>
      </c>
      <c r="N20" s="1">
        <v>6.3</v>
      </c>
      <c r="O20" s="1">
        <f t="shared" si="1"/>
        <v>3.15</v>
      </c>
      <c r="P20" s="1">
        <f t="shared" si="2"/>
        <v>340.55905017479853</v>
      </c>
      <c r="Q20" s="1">
        <f t="shared" si="3"/>
        <v>3.2299831686616572E-3</v>
      </c>
      <c r="R20" s="1">
        <f t="shared" si="4"/>
        <v>309.59913652254409</v>
      </c>
      <c r="S20" s="4">
        <f t="shared" si="8"/>
        <v>5.1599856087090679</v>
      </c>
      <c r="T20" s="8" t="str">
        <f t="shared" si="6"/>
        <v>06_salt</v>
      </c>
      <c r="U20" s="1">
        <f t="shared" si="9"/>
        <v>6.6000000000000003E-2</v>
      </c>
    </row>
    <row r="21" spans="1:21" x14ac:dyDescent="0.2">
      <c r="A21" s="1">
        <v>20</v>
      </c>
      <c r="B21" s="1" t="s">
        <v>48</v>
      </c>
      <c r="C21" s="1" t="s">
        <v>42</v>
      </c>
      <c r="D21" s="2">
        <v>46141</v>
      </c>
      <c r="E21" s="1">
        <v>1.5</v>
      </c>
      <c r="F21" s="3">
        <v>1.6</v>
      </c>
      <c r="G21" s="9">
        <v>0.4375</v>
      </c>
      <c r="H21" s="1" t="s">
        <v>49</v>
      </c>
      <c r="I21" s="3">
        <v>11</v>
      </c>
      <c r="J21" s="3">
        <v>11.6</v>
      </c>
      <c r="K21" s="3">
        <v>11.3</v>
      </c>
      <c r="L21" s="3">
        <v>10.9</v>
      </c>
      <c r="M21" s="1">
        <f t="shared" si="0"/>
        <v>11.200000000000001</v>
      </c>
      <c r="N21" s="1">
        <v>6.3</v>
      </c>
      <c r="O21" s="1">
        <f t="shared" si="1"/>
        <v>3.15</v>
      </c>
      <c r="P21" s="1">
        <f t="shared" si="2"/>
        <v>349.13147477874088</v>
      </c>
      <c r="Q21" s="1">
        <f t="shared" si="3"/>
        <v>4.5828007944972203E-3</v>
      </c>
      <c r="R21" s="1">
        <f t="shared" si="4"/>
        <v>218.20717173671306</v>
      </c>
      <c r="S21" s="4">
        <f t="shared" si="8"/>
        <v>3.6367861956118843</v>
      </c>
      <c r="T21" s="8" t="str">
        <f t="shared" si="6"/>
        <v>03_salt</v>
      </c>
      <c r="U21" s="1">
        <f t="shared" si="9"/>
        <v>9.6000000000000002E-2</v>
      </c>
    </row>
    <row r="22" spans="1:21" x14ac:dyDescent="0.2">
      <c r="A22" s="1">
        <v>21</v>
      </c>
      <c r="B22" s="1" t="s">
        <v>48</v>
      </c>
      <c r="C22" s="1" t="s">
        <v>43</v>
      </c>
      <c r="D22" s="2">
        <v>46141</v>
      </c>
      <c r="E22" s="1">
        <v>1.5</v>
      </c>
      <c r="F22" s="3">
        <v>1.3</v>
      </c>
      <c r="G22" s="9">
        <v>0.4375</v>
      </c>
      <c r="H22" s="1" t="s">
        <v>49</v>
      </c>
      <c r="I22" s="3">
        <v>10.3</v>
      </c>
      <c r="J22" s="3">
        <v>10.199999999999999</v>
      </c>
      <c r="K22" s="3">
        <v>11.5</v>
      </c>
      <c r="L22" s="3">
        <v>11.5</v>
      </c>
      <c r="M22" s="1">
        <f t="shared" si="0"/>
        <v>10.875</v>
      </c>
      <c r="N22" s="1">
        <v>6.3</v>
      </c>
      <c r="O22" s="1">
        <f t="shared" si="1"/>
        <v>3.15</v>
      </c>
      <c r="P22" s="1">
        <f t="shared" si="2"/>
        <v>339.00042751953634</v>
      </c>
      <c r="Q22" s="1">
        <f t="shared" si="3"/>
        <v>3.8348034234413526E-3</v>
      </c>
      <c r="R22" s="1">
        <f t="shared" si="4"/>
        <v>260.76955963041257</v>
      </c>
      <c r="S22" s="4">
        <f t="shared" si="8"/>
        <v>4.3461593271735426</v>
      </c>
      <c r="T22" s="8" t="str">
        <f t="shared" si="6"/>
        <v>12_salt</v>
      </c>
      <c r="U22" s="1">
        <f t="shared" si="9"/>
        <v>7.8000000000000014E-2</v>
      </c>
    </row>
    <row r="23" spans="1:21" x14ac:dyDescent="0.2">
      <c r="A23" s="1">
        <v>22</v>
      </c>
      <c r="B23" s="1" t="s">
        <v>48</v>
      </c>
      <c r="C23" s="1" t="s">
        <v>44</v>
      </c>
      <c r="D23" s="2">
        <v>46141</v>
      </c>
      <c r="E23" s="1">
        <v>1.5</v>
      </c>
      <c r="F23" s="3">
        <v>1.6</v>
      </c>
      <c r="G23" s="9">
        <v>0.4375</v>
      </c>
      <c r="H23" s="1" t="s">
        <v>49</v>
      </c>
      <c r="I23" s="3">
        <v>12.8</v>
      </c>
      <c r="J23" s="3">
        <v>12.2</v>
      </c>
      <c r="K23" s="3">
        <v>12.6</v>
      </c>
      <c r="L23" s="3">
        <v>12.1</v>
      </c>
      <c r="M23" s="1">
        <f t="shared" si="0"/>
        <v>12.425000000000001</v>
      </c>
      <c r="N23" s="1">
        <v>6.3</v>
      </c>
      <c r="O23" s="1">
        <f t="shared" si="1"/>
        <v>3.15</v>
      </c>
      <c r="P23" s="1">
        <f t="shared" si="2"/>
        <v>387.31772983266569</v>
      </c>
      <c r="Q23" s="1">
        <f t="shared" si="3"/>
        <v>4.1309753640538325E-3</v>
      </c>
      <c r="R23" s="1">
        <f t="shared" si="4"/>
        <v>242.07358114541606</v>
      </c>
      <c r="S23" s="4">
        <f t="shared" si="8"/>
        <v>4.0345596857569346</v>
      </c>
      <c r="T23" s="8" t="str">
        <f t="shared" si="6"/>
        <v>18_salt</v>
      </c>
      <c r="U23" s="1">
        <f t="shared" si="9"/>
        <v>9.6000000000000002E-2</v>
      </c>
    </row>
    <row r="24" spans="1:21" x14ac:dyDescent="0.2">
      <c r="A24" s="1">
        <v>23</v>
      </c>
      <c r="B24" s="1" t="s">
        <v>48</v>
      </c>
      <c r="C24" s="1" t="s">
        <v>45</v>
      </c>
      <c r="D24" s="2">
        <v>46141</v>
      </c>
      <c r="E24" s="1">
        <v>1.5</v>
      </c>
      <c r="F24" s="3">
        <v>2</v>
      </c>
      <c r="G24" s="9">
        <v>0.4375</v>
      </c>
      <c r="H24" s="1" t="s">
        <v>49</v>
      </c>
      <c r="I24" s="3">
        <v>8.9</v>
      </c>
      <c r="J24" s="3">
        <v>8.6</v>
      </c>
      <c r="K24" s="3">
        <v>9.6</v>
      </c>
      <c r="L24" s="3">
        <v>8.5</v>
      </c>
      <c r="M24" s="1">
        <f t="shared" si="0"/>
        <v>8.9</v>
      </c>
      <c r="N24" s="1">
        <v>6.3</v>
      </c>
      <c r="O24" s="1">
        <f t="shared" si="1"/>
        <v>3.15</v>
      </c>
      <c r="P24" s="1">
        <f t="shared" si="2"/>
        <v>277.43483263667804</v>
      </c>
      <c r="Q24" s="1">
        <f t="shared" si="3"/>
        <v>7.2089001261754024E-3</v>
      </c>
      <c r="R24" s="1">
        <f t="shared" si="4"/>
        <v>138.71741631833902</v>
      </c>
      <c r="S24" s="4">
        <f t="shared" si="8"/>
        <v>2.3119569386389838</v>
      </c>
      <c r="T24" s="8" t="str">
        <f t="shared" si="6"/>
        <v>24_salt</v>
      </c>
      <c r="U24" s="1">
        <f t="shared" si="9"/>
        <v>0.12</v>
      </c>
    </row>
    <row r="25" spans="1:21" x14ac:dyDescent="0.2">
      <c r="A25" s="1">
        <v>24</v>
      </c>
      <c r="B25" s="1" t="s">
        <v>48</v>
      </c>
      <c r="C25" s="1" t="s">
        <v>46</v>
      </c>
      <c r="D25" s="2">
        <v>46141</v>
      </c>
      <c r="E25" s="1">
        <v>1.5</v>
      </c>
      <c r="F25" s="3">
        <v>1</v>
      </c>
      <c r="G25" s="9">
        <v>0.4375</v>
      </c>
      <c r="H25" s="1" t="s">
        <v>49</v>
      </c>
      <c r="I25" s="3">
        <v>9.6</v>
      </c>
      <c r="J25" s="3">
        <v>9.8000000000000007</v>
      </c>
      <c r="K25" s="3">
        <v>9.5</v>
      </c>
      <c r="L25" s="3">
        <v>9.8000000000000007</v>
      </c>
      <c r="M25" s="1">
        <f t="shared" si="0"/>
        <v>9.6750000000000007</v>
      </c>
      <c r="N25" s="1">
        <v>6.3</v>
      </c>
      <c r="O25" s="1">
        <f t="shared" si="1"/>
        <v>3.15</v>
      </c>
      <c r="P25" s="1">
        <f t="shared" si="2"/>
        <v>301.59348379324268</v>
      </c>
      <c r="Q25" s="1">
        <f t="shared" si="3"/>
        <v>3.3157215050625883E-3</v>
      </c>
      <c r="R25" s="1">
        <f t="shared" si="4"/>
        <v>301.59348379324268</v>
      </c>
      <c r="S25" s="4">
        <f t="shared" si="8"/>
        <v>5.026558063220711</v>
      </c>
      <c r="T25" s="8" t="str">
        <f t="shared" si="6"/>
        <v>21_salt</v>
      </c>
      <c r="U25" s="1">
        <f t="shared" si="9"/>
        <v>0.06</v>
      </c>
    </row>
    <row r="26" spans="1:21" x14ac:dyDescent="0.2">
      <c r="A26" s="7"/>
      <c r="B26" s="7"/>
      <c r="C26" s="7"/>
      <c r="D26" s="7"/>
      <c r="E26" s="7"/>
      <c r="F26" s="12"/>
      <c r="G26" s="7"/>
      <c r="H26" s="7"/>
      <c r="I26" s="7"/>
      <c r="J26" s="7"/>
      <c r="K26" s="7"/>
      <c r="L26" s="7"/>
      <c r="M26" s="5"/>
      <c r="N26" s="5"/>
      <c r="O26" s="5"/>
      <c r="P26" s="5"/>
      <c r="Q26" s="5"/>
      <c r="R26" s="5"/>
      <c r="S26" s="6"/>
      <c r="T26" s="7"/>
      <c r="U26" s="7"/>
    </row>
    <row r="27" spans="1:21" x14ac:dyDescent="0.2">
      <c r="A27" s="1">
        <v>1</v>
      </c>
      <c r="B27" s="1" t="s">
        <v>47</v>
      </c>
      <c r="C27" s="1" t="s">
        <v>23</v>
      </c>
      <c r="D27" s="2">
        <v>46143</v>
      </c>
      <c r="E27" s="1">
        <v>1.5</v>
      </c>
      <c r="F27" s="3">
        <v>1.2</v>
      </c>
      <c r="G27" s="9">
        <v>0.45833333333333331</v>
      </c>
      <c r="H27" s="1" t="s">
        <v>50</v>
      </c>
      <c r="I27" s="3">
        <v>7.4</v>
      </c>
      <c r="J27" s="3">
        <v>10.6</v>
      </c>
      <c r="K27" s="3">
        <v>8.9</v>
      </c>
      <c r="L27" s="3">
        <v>7.3</v>
      </c>
      <c r="M27" s="1">
        <f>AVERAGE(I27:L27)</f>
        <v>8.5499999999999989</v>
      </c>
      <c r="N27" s="1">
        <v>6.3</v>
      </c>
      <c r="O27" s="1">
        <f>N27/2</f>
        <v>3.15</v>
      </c>
      <c r="P27" s="1">
        <f>PI()*(O27^2)*M27</f>
        <v>266.52447404984235</v>
      </c>
      <c r="Q27" s="1">
        <f t="shared" si="3"/>
        <v>4.5024007805586725E-3</v>
      </c>
      <c r="R27" s="1">
        <f>1/Q27</f>
        <v>222.10372837486864</v>
      </c>
      <c r="S27" s="4">
        <f>R27/60</f>
        <v>3.7017288062478104</v>
      </c>
      <c r="T27" s="8" t="str">
        <f>C27</f>
        <v>26_fresh</v>
      </c>
      <c r="U27" s="1">
        <f t="shared" si="9"/>
        <v>7.1999999999999995E-2</v>
      </c>
    </row>
    <row r="28" spans="1:21" x14ac:dyDescent="0.2">
      <c r="A28" s="1">
        <v>2</v>
      </c>
      <c r="B28" s="1" t="s">
        <v>47</v>
      </c>
      <c r="C28" s="1" t="s">
        <v>24</v>
      </c>
      <c r="D28" s="2">
        <v>46143</v>
      </c>
      <c r="E28" s="1">
        <v>1.5</v>
      </c>
      <c r="F28" s="3">
        <v>2</v>
      </c>
      <c r="G28" s="9">
        <v>0.45833333333333331</v>
      </c>
      <c r="H28" s="1" t="s">
        <v>50</v>
      </c>
      <c r="I28" s="3">
        <v>9</v>
      </c>
      <c r="J28" s="3">
        <v>8.6</v>
      </c>
      <c r="K28" s="3">
        <v>9.6999999999999993</v>
      </c>
      <c r="L28" s="3">
        <v>9</v>
      </c>
      <c r="M28" s="1">
        <f t="shared" ref="M28:M50" si="10">AVERAGE(I28:L28)</f>
        <v>9.0749999999999993</v>
      </c>
      <c r="N28" s="1">
        <v>6.3</v>
      </c>
      <c r="O28" s="1">
        <f t="shared" ref="O28:O50" si="11">N28/2</f>
        <v>3.15</v>
      </c>
      <c r="P28" s="1">
        <f t="shared" ref="P28:P50" si="12">PI()*(O28^2)*M28</f>
        <v>282.8900119300958</v>
      </c>
      <c r="Q28" s="1">
        <f t="shared" si="3"/>
        <v>7.069885523191306E-3</v>
      </c>
      <c r="R28" s="1">
        <f t="shared" ref="R28:R50" si="13">1/Q28</f>
        <v>141.4450059650479</v>
      </c>
      <c r="S28" s="4">
        <f t="shared" ref="S28:S50" si="14">R28/60</f>
        <v>2.3574167660841314</v>
      </c>
      <c r="T28" s="8" t="str">
        <f t="shared" ref="T28:T50" si="15">C28</f>
        <v>20_fresh</v>
      </c>
      <c r="U28" s="1">
        <f t="shared" si="9"/>
        <v>0.12</v>
      </c>
    </row>
    <row r="29" spans="1:21" x14ac:dyDescent="0.2">
      <c r="A29" s="1">
        <v>3</v>
      </c>
      <c r="B29" s="1" t="s">
        <v>47</v>
      </c>
      <c r="C29" s="1" t="s">
        <v>25</v>
      </c>
      <c r="D29" s="2">
        <v>46143</v>
      </c>
      <c r="E29" s="1">
        <v>1.5</v>
      </c>
      <c r="F29" s="3">
        <v>2</v>
      </c>
      <c r="G29" s="9">
        <v>0.45833333333333331</v>
      </c>
      <c r="H29" s="1" t="s">
        <v>50</v>
      </c>
      <c r="I29" s="3">
        <v>11</v>
      </c>
      <c r="J29" s="3">
        <v>11</v>
      </c>
      <c r="K29" s="3">
        <v>11.3</v>
      </c>
      <c r="L29" s="3">
        <v>10.3</v>
      </c>
      <c r="M29" s="1">
        <f t="shared" si="10"/>
        <v>10.899999999999999</v>
      </c>
      <c r="N29" s="1">
        <v>6.3</v>
      </c>
      <c r="O29" s="1">
        <f t="shared" si="11"/>
        <v>3.15</v>
      </c>
      <c r="P29" s="1">
        <f t="shared" si="12"/>
        <v>339.77973884716744</v>
      </c>
      <c r="Q29" s="1">
        <f t="shared" si="3"/>
        <v>5.8861661580698246E-3</v>
      </c>
      <c r="R29" s="1">
        <f t="shared" si="13"/>
        <v>169.88986942358372</v>
      </c>
      <c r="S29" s="4">
        <f t="shared" si="14"/>
        <v>2.8314978237263952</v>
      </c>
      <c r="T29" s="8" t="str">
        <f t="shared" si="15"/>
        <v>08_fresh</v>
      </c>
      <c r="U29" s="1">
        <f t="shared" si="9"/>
        <v>0.12</v>
      </c>
    </row>
    <row r="30" spans="1:21" x14ac:dyDescent="0.2">
      <c r="A30" s="1">
        <v>4</v>
      </c>
      <c r="B30" s="1" t="s">
        <v>47</v>
      </c>
      <c r="C30" s="1" t="s">
        <v>26</v>
      </c>
      <c r="D30" s="2">
        <v>46143</v>
      </c>
      <c r="E30" s="1">
        <v>1.5</v>
      </c>
      <c r="F30" s="3">
        <v>1.3</v>
      </c>
      <c r="G30" s="9">
        <v>0.45833333333333331</v>
      </c>
      <c r="H30" s="1" t="s">
        <v>50</v>
      </c>
      <c r="I30" s="3">
        <v>10</v>
      </c>
      <c r="J30" s="3">
        <v>10.4</v>
      </c>
      <c r="K30" s="3">
        <v>9.6999999999999993</v>
      </c>
      <c r="L30" s="3">
        <v>9.4</v>
      </c>
      <c r="M30" s="1">
        <f t="shared" si="10"/>
        <v>9.875</v>
      </c>
      <c r="N30" s="1">
        <v>6.3</v>
      </c>
      <c r="O30" s="1">
        <f t="shared" si="11"/>
        <v>3.15</v>
      </c>
      <c r="P30" s="1">
        <f t="shared" si="12"/>
        <v>307.82797441429159</v>
      </c>
      <c r="Q30" s="1">
        <f t="shared" si="3"/>
        <v>4.2231379473341478E-3</v>
      </c>
      <c r="R30" s="1">
        <f t="shared" si="13"/>
        <v>236.79074954945509</v>
      </c>
      <c r="S30" s="4">
        <f t="shared" si="14"/>
        <v>3.9465124924909181</v>
      </c>
      <c r="T30" s="8" t="str">
        <f t="shared" si="15"/>
        <v>11_fresh</v>
      </c>
      <c r="U30" s="1">
        <f t="shared" si="9"/>
        <v>7.8000000000000014E-2</v>
      </c>
    </row>
    <row r="31" spans="1:21" x14ac:dyDescent="0.2">
      <c r="A31" s="1">
        <v>5</v>
      </c>
      <c r="B31" s="1" t="s">
        <v>47</v>
      </c>
      <c r="C31" s="1" t="s">
        <v>27</v>
      </c>
      <c r="D31" s="2">
        <v>46143</v>
      </c>
      <c r="E31" s="1">
        <v>1.5</v>
      </c>
      <c r="F31" s="3">
        <v>2</v>
      </c>
      <c r="G31" s="9">
        <v>0.45833333333333331</v>
      </c>
      <c r="H31" s="1" t="s">
        <v>50</v>
      </c>
      <c r="I31" s="3">
        <v>10.8</v>
      </c>
      <c r="J31" s="3">
        <v>10.199999999999999</v>
      </c>
      <c r="K31" s="3">
        <v>10.4</v>
      </c>
      <c r="L31" s="3">
        <v>11.6</v>
      </c>
      <c r="M31" s="1">
        <f t="shared" si="10"/>
        <v>10.75</v>
      </c>
      <c r="N31" s="1">
        <v>6.3</v>
      </c>
      <c r="O31" s="1">
        <f t="shared" si="11"/>
        <v>3.15</v>
      </c>
      <c r="P31" s="1">
        <f t="shared" si="12"/>
        <v>335.10387088138077</v>
      </c>
      <c r="Q31" s="1">
        <f t="shared" si="3"/>
        <v>5.9682987091126587E-3</v>
      </c>
      <c r="R31" s="1">
        <f t="shared" si="13"/>
        <v>167.55193544069039</v>
      </c>
      <c r="S31" s="4">
        <f t="shared" si="14"/>
        <v>2.7925322573448397</v>
      </c>
      <c r="T31" s="8" t="str">
        <f t="shared" si="15"/>
        <v>02_fresh</v>
      </c>
      <c r="U31" s="1">
        <f t="shared" si="9"/>
        <v>0.12</v>
      </c>
    </row>
    <row r="32" spans="1:21" x14ac:dyDescent="0.2">
      <c r="A32" s="1">
        <v>6</v>
      </c>
      <c r="B32" s="1" t="s">
        <v>47</v>
      </c>
      <c r="C32" s="1" t="s">
        <v>28</v>
      </c>
      <c r="D32" s="2">
        <v>46143</v>
      </c>
      <c r="E32" s="1">
        <v>1.5</v>
      </c>
      <c r="F32" s="3">
        <v>1.5</v>
      </c>
      <c r="G32" s="9">
        <v>0.45833333333333331</v>
      </c>
      <c r="H32" s="1" t="s">
        <v>50</v>
      </c>
      <c r="I32" s="3">
        <v>9.5</v>
      </c>
      <c r="J32" s="3">
        <v>9</v>
      </c>
      <c r="K32" s="3">
        <v>9.4</v>
      </c>
      <c r="L32" s="3">
        <v>9</v>
      </c>
      <c r="M32" s="1">
        <f t="shared" si="10"/>
        <v>9.2249999999999996</v>
      </c>
      <c r="N32" s="1">
        <v>6.3</v>
      </c>
      <c r="O32" s="1">
        <f t="shared" si="11"/>
        <v>3.15</v>
      </c>
      <c r="P32" s="1">
        <f t="shared" si="12"/>
        <v>287.56587989588252</v>
      </c>
      <c r="Q32" s="1">
        <f t="shared" si="3"/>
        <v>5.2161960262569994E-3</v>
      </c>
      <c r="R32" s="1">
        <f t="shared" si="13"/>
        <v>191.71058659725503</v>
      </c>
      <c r="S32" s="4">
        <f t="shared" si="14"/>
        <v>3.195176443287584</v>
      </c>
      <c r="T32" s="8" t="str">
        <f t="shared" si="15"/>
        <v>29_fresh</v>
      </c>
      <c r="U32" s="1">
        <f t="shared" si="9"/>
        <v>0.09</v>
      </c>
    </row>
    <row r="33" spans="1:21" x14ac:dyDescent="0.2">
      <c r="A33" s="1">
        <v>7</v>
      </c>
      <c r="B33" s="1" t="s">
        <v>47</v>
      </c>
      <c r="C33" s="1" t="s">
        <v>29</v>
      </c>
      <c r="D33" s="2">
        <v>46143</v>
      </c>
      <c r="E33" s="1">
        <v>1.5</v>
      </c>
      <c r="F33" s="3">
        <v>1.2</v>
      </c>
      <c r="G33" s="9">
        <v>0.45833333333333331</v>
      </c>
      <c r="H33" s="1" t="s">
        <v>50</v>
      </c>
      <c r="I33" s="3">
        <v>10.1</v>
      </c>
      <c r="J33" s="3">
        <v>9.8000000000000007</v>
      </c>
      <c r="K33" s="3">
        <v>10.7</v>
      </c>
      <c r="L33" s="3">
        <v>10.5</v>
      </c>
      <c r="M33" s="1">
        <f t="shared" si="10"/>
        <v>10.274999999999999</v>
      </c>
      <c r="N33" s="1">
        <v>6.3</v>
      </c>
      <c r="O33" s="1">
        <f t="shared" si="11"/>
        <v>3.15</v>
      </c>
      <c r="P33" s="1">
        <f t="shared" si="12"/>
        <v>320.29695565638946</v>
      </c>
      <c r="Q33" s="1">
        <f t="shared" si="3"/>
        <v>3.7465232772532025E-3</v>
      </c>
      <c r="R33" s="1">
        <f t="shared" si="13"/>
        <v>266.91412971365793</v>
      </c>
      <c r="S33" s="4">
        <f t="shared" si="14"/>
        <v>4.4485688285609655</v>
      </c>
      <c r="T33" s="8" t="str">
        <f t="shared" si="15"/>
        <v>05_fresh</v>
      </c>
      <c r="U33" s="1">
        <f t="shared" si="9"/>
        <v>7.1999999999999995E-2</v>
      </c>
    </row>
    <row r="34" spans="1:21" x14ac:dyDescent="0.2">
      <c r="A34" s="1">
        <v>8</v>
      </c>
      <c r="B34" s="1" t="s">
        <v>47</v>
      </c>
      <c r="C34" s="1" t="s">
        <v>30</v>
      </c>
      <c r="D34" s="2">
        <v>46143</v>
      </c>
      <c r="E34" s="1">
        <v>1.5</v>
      </c>
      <c r="F34" s="3">
        <v>2.4</v>
      </c>
      <c r="G34" s="9">
        <v>0.45833333333333331</v>
      </c>
      <c r="H34" s="1" t="s">
        <v>50</v>
      </c>
      <c r="I34" s="3">
        <v>10.199999999999999</v>
      </c>
      <c r="J34" s="3">
        <v>10.9</v>
      </c>
      <c r="K34" s="3">
        <v>10.1</v>
      </c>
      <c r="L34" s="3">
        <v>10.3</v>
      </c>
      <c r="M34" s="1">
        <f t="shared" si="10"/>
        <v>10.375</v>
      </c>
      <c r="N34" s="1">
        <v>6.3</v>
      </c>
      <c r="O34" s="1">
        <f t="shared" si="11"/>
        <v>3.15</v>
      </c>
      <c r="P34" s="1">
        <f t="shared" si="12"/>
        <v>323.414200966914</v>
      </c>
      <c r="Q34" s="1">
        <f t="shared" si="3"/>
        <v>7.4208244190412821E-3</v>
      </c>
      <c r="R34" s="1">
        <f t="shared" si="13"/>
        <v>134.75591706954751</v>
      </c>
      <c r="S34" s="4">
        <f t="shared" si="14"/>
        <v>2.2459319511591249</v>
      </c>
      <c r="T34" s="8" t="str">
        <f t="shared" si="15"/>
        <v>17_fresh</v>
      </c>
      <c r="U34" s="1">
        <f t="shared" si="9"/>
        <v>0.14399999999999999</v>
      </c>
    </row>
    <row r="35" spans="1:21" x14ac:dyDescent="0.2">
      <c r="A35" s="1">
        <v>9</v>
      </c>
      <c r="B35" s="1" t="s">
        <v>47</v>
      </c>
      <c r="C35" s="1" t="s">
        <v>31</v>
      </c>
      <c r="D35" s="2">
        <v>46143</v>
      </c>
      <c r="E35" s="1">
        <v>1.5</v>
      </c>
      <c r="F35" s="3">
        <v>0.8</v>
      </c>
      <c r="G35" s="9">
        <v>0.45833333333333331</v>
      </c>
      <c r="H35" s="1" t="s">
        <v>50</v>
      </c>
      <c r="I35" s="3">
        <v>9.8000000000000007</v>
      </c>
      <c r="J35" s="3">
        <v>9.6</v>
      </c>
      <c r="K35" s="3">
        <v>9.6</v>
      </c>
      <c r="L35" s="3">
        <v>9.6999999999999993</v>
      </c>
      <c r="M35" s="1">
        <f t="shared" si="10"/>
        <v>9.6750000000000007</v>
      </c>
      <c r="N35" s="1">
        <v>6.3</v>
      </c>
      <c r="O35" s="1">
        <f t="shared" si="11"/>
        <v>3.15</v>
      </c>
      <c r="P35" s="1">
        <f t="shared" si="12"/>
        <v>301.59348379324268</v>
      </c>
      <c r="Q35" s="1">
        <f t="shared" si="3"/>
        <v>2.6525772040500708E-3</v>
      </c>
      <c r="R35" s="1">
        <f t="shared" si="13"/>
        <v>376.99185474155337</v>
      </c>
      <c r="S35" s="4">
        <f t="shared" si="14"/>
        <v>6.2831975790258898</v>
      </c>
      <c r="T35" s="8" t="str">
        <f t="shared" si="15"/>
        <v>23_fresh</v>
      </c>
      <c r="U35" s="1">
        <f t="shared" si="9"/>
        <v>4.8000000000000001E-2</v>
      </c>
    </row>
    <row r="36" spans="1:21" x14ac:dyDescent="0.2">
      <c r="A36" s="1">
        <v>10</v>
      </c>
      <c r="B36" s="1" t="s">
        <v>47</v>
      </c>
      <c r="C36" s="1" t="s">
        <v>32</v>
      </c>
      <c r="D36" s="2">
        <v>46143</v>
      </c>
      <c r="E36" s="1">
        <v>1.5</v>
      </c>
      <c r="F36" s="3">
        <v>1.8</v>
      </c>
      <c r="G36" s="9">
        <v>0.45833333333333331</v>
      </c>
      <c r="H36" s="1" t="s">
        <v>50</v>
      </c>
      <c r="I36" s="3">
        <v>12.1</v>
      </c>
      <c r="J36" s="3">
        <v>12.3</v>
      </c>
      <c r="K36" s="3">
        <v>12.9</v>
      </c>
      <c r="L36" s="3">
        <v>13.2</v>
      </c>
      <c r="M36" s="13">
        <f t="shared" si="10"/>
        <v>12.625</v>
      </c>
      <c r="N36" s="1">
        <v>6.3</v>
      </c>
      <c r="O36" s="1">
        <f t="shared" si="11"/>
        <v>3.15</v>
      </c>
      <c r="P36" s="1">
        <f t="shared" si="12"/>
        <v>393.5522204537146</v>
      </c>
      <c r="Q36" s="1">
        <f t="shared" si="3"/>
        <v>4.5737259414388104E-3</v>
      </c>
      <c r="R36" s="1">
        <f t="shared" si="13"/>
        <v>218.64012247428587</v>
      </c>
      <c r="S36" s="4">
        <f t="shared" si="14"/>
        <v>3.6440020412380978</v>
      </c>
      <c r="T36" s="8" t="str">
        <f t="shared" si="15"/>
        <v>14_fresh</v>
      </c>
      <c r="U36" s="1">
        <f t="shared" si="9"/>
        <v>0.10800000000000001</v>
      </c>
    </row>
    <row r="37" spans="1:21" x14ac:dyDescent="0.2">
      <c r="A37" s="1">
        <v>11</v>
      </c>
      <c r="B37" s="1" t="s">
        <v>47</v>
      </c>
      <c r="C37" s="1" t="s">
        <v>33</v>
      </c>
      <c r="D37" s="2">
        <v>46143</v>
      </c>
      <c r="E37" s="1">
        <v>1.5</v>
      </c>
      <c r="F37" s="3">
        <v>1</v>
      </c>
      <c r="G37" s="9">
        <v>0.45833333333333331</v>
      </c>
      <c r="H37" s="1" t="s">
        <v>50</v>
      </c>
      <c r="I37" s="3">
        <v>8.3000000000000007</v>
      </c>
      <c r="J37" s="3">
        <v>7</v>
      </c>
      <c r="K37" s="3">
        <v>7.9</v>
      </c>
      <c r="L37" s="3">
        <v>8.3000000000000007</v>
      </c>
      <c r="M37" s="16">
        <f t="shared" si="10"/>
        <v>7.8750000000000009</v>
      </c>
      <c r="N37" s="1">
        <v>6.3</v>
      </c>
      <c r="O37" s="1">
        <f t="shared" si="11"/>
        <v>3.15</v>
      </c>
      <c r="P37" s="1">
        <f t="shared" si="12"/>
        <v>245.48306820380219</v>
      </c>
      <c r="Q37" s="1">
        <f t="shared" si="3"/>
        <v>4.0736007062197512E-3</v>
      </c>
      <c r="R37" s="1">
        <f t="shared" si="13"/>
        <v>245.48306820380219</v>
      </c>
      <c r="S37" s="4">
        <f t="shared" si="14"/>
        <v>4.0913844700633701</v>
      </c>
      <c r="T37" s="8" t="str">
        <f t="shared" si="15"/>
        <v>32_fresh</v>
      </c>
      <c r="U37" s="1">
        <f t="shared" si="9"/>
        <v>0.06</v>
      </c>
    </row>
    <row r="38" spans="1:21" x14ac:dyDescent="0.2">
      <c r="A38" s="1">
        <v>12</v>
      </c>
      <c r="B38" s="1" t="s">
        <v>47</v>
      </c>
      <c r="C38" s="1" t="s">
        <v>34</v>
      </c>
      <c r="D38" s="2">
        <v>46143</v>
      </c>
      <c r="E38" s="1">
        <v>1.5</v>
      </c>
      <c r="F38" s="3">
        <v>0.8</v>
      </c>
      <c r="G38" s="9">
        <v>0.45833333333333331</v>
      </c>
      <c r="H38" s="1" t="s">
        <v>50</v>
      </c>
      <c r="I38" s="1" t="s">
        <v>5</v>
      </c>
      <c r="J38" s="1" t="s">
        <v>5</v>
      </c>
      <c r="K38" s="1" t="s">
        <v>5</v>
      </c>
      <c r="L38" s="1" t="s">
        <v>5</v>
      </c>
      <c r="M38" s="1" t="e">
        <f t="shared" si="10"/>
        <v>#DIV/0!</v>
      </c>
      <c r="N38" s="1" t="s">
        <v>5</v>
      </c>
      <c r="O38" s="1" t="e">
        <f t="shared" si="11"/>
        <v>#VALUE!</v>
      </c>
      <c r="P38" s="1" t="e">
        <f t="shared" si="12"/>
        <v>#VALUE!</v>
      </c>
      <c r="Q38" s="1" t="e">
        <f t="shared" si="3"/>
        <v>#VALUE!</v>
      </c>
      <c r="R38" s="1" t="e">
        <f t="shared" si="13"/>
        <v>#VALUE!</v>
      </c>
      <c r="S38" s="4" t="e">
        <f t="shared" si="14"/>
        <v>#VALUE!</v>
      </c>
      <c r="T38" s="8" t="str">
        <f t="shared" si="15"/>
        <v>BP_fresh</v>
      </c>
      <c r="U38" s="1">
        <f t="shared" si="9"/>
        <v>4.8000000000000001E-2</v>
      </c>
    </row>
    <row r="39" spans="1:21" x14ac:dyDescent="0.2">
      <c r="A39" s="1">
        <v>13</v>
      </c>
      <c r="B39" s="1" t="s">
        <v>48</v>
      </c>
      <c r="C39" s="1" t="s">
        <v>35</v>
      </c>
      <c r="D39" s="2">
        <v>46143</v>
      </c>
      <c r="E39" s="1">
        <v>1.5</v>
      </c>
      <c r="F39" s="3">
        <v>1.2</v>
      </c>
      <c r="G39" s="9">
        <v>0.45833333333333331</v>
      </c>
      <c r="H39" s="1" t="s">
        <v>50</v>
      </c>
      <c r="I39" s="1" t="s">
        <v>5</v>
      </c>
      <c r="J39" s="1" t="s">
        <v>5</v>
      </c>
      <c r="K39" s="1" t="s">
        <v>5</v>
      </c>
      <c r="L39" s="1" t="s">
        <v>5</v>
      </c>
      <c r="M39" s="1" t="e">
        <f t="shared" si="10"/>
        <v>#DIV/0!</v>
      </c>
      <c r="N39" s="1" t="s">
        <v>5</v>
      </c>
      <c r="O39" s="1" t="e">
        <f t="shared" si="11"/>
        <v>#VALUE!</v>
      </c>
      <c r="P39" s="1" t="e">
        <f t="shared" si="12"/>
        <v>#VALUE!</v>
      </c>
      <c r="Q39" s="1" t="e">
        <f t="shared" si="3"/>
        <v>#VALUE!</v>
      </c>
      <c r="R39" s="1" t="e">
        <f t="shared" si="13"/>
        <v>#VALUE!</v>
      </c>
      <c r="S39" s="4" t="e">
        <f t="shared" si="14"/>
        <v>#VALUE!</v>
      </c>
      <c r="T39" s="8" t="str">
        <f t="shared" si="15"/>
        <v>BP_salt</v>
      </c>
      <c r="U39" s="1">
        <f t="shared" si="9"/>
        <v>7.1999999999999995E-2</v>
      </c>
    </row>
    <row r="40" spans="1:21" x14ac:dyDescent="0.2">
      <c r="A40" s="1">
        <v>14</v>
      </c>
      <c r="B40" s="1" t="s">
        <v>48</v>
      </c>
      <c r="C40" s="1" t="s">
        <v>36</v>
      </c>
      <c r="D40" s="2">
        <v>46143</v>
      </c>
      <c r="E40" s="1">
        <v>1.5</v>
      </c>
      <c r="F40" s="3">
        <v>0.8</v>
      </c>
      <c r="G40" s="9">
        <v>0.45833333333333331</v>
      </c>
      <c r="H40" s="1" t="s">
        <v>50</v>
      </c>
      <c r="I40" s="3">
        <v>9.1</v>
      </c>
      <c r="J40" s="3">
        <v>9.6</v>
      </c>
      <c r="K40" s="3">
        <v>9.3000000000000007</v>
      </c>
      <c r="L40" s="3">
        <v>8.6999999999999993</v>
      </c>
      <c r="M40" s="1">
        <f t="shared" si="10"/>
        <v>9.1750000000000007</v>
      </c>
      <c r="N40" s="1">
        <v>6.3</v>
      </c>
      <c r="O40" s="1">
        <f t="shared" si="11"/>
        <v>3.15</v>
      </c>
      <c r="P40" s="1">
        <f t="shared" si="12"/>
        <v>286.00725724062033</v>
      </c>
      <c r="Q40" s="1">
        <f t="shared" si="3"/>
        <v>2.7971318200745976E-3</v>
      </c>
      <c r="R40" s="1">
        <f t="shared" si="13"/>
        <v>357.50907155077539</v>
      </c>
      <c r="S40" s="4">
        <f t="shared" si="14"/>
        <v>5.9584845258462567</v>
      </c>
      <c r="T40" s="8" t="str">
        <f t="shared" si="15"/>
        <v>09_salt</v>
      </c>
      <c r="U40" s="1">
        <f t="shared" si="9"/>
        <v>4.8000000000000001E-2</v>
      </c>
    </row>
    <row r="41" spans="1:21" x14ac:dyDescent="0.2">
      <c r="A41" s="1">
        <v>15</v>
      </c>
      <c r="B41" s="1" t="s">
        <v>48</v>
      </c>
      <c r="C41" s="1" t="s">
        <v>37</v>
      </c>
      <c r="D41" s="2">
        <v>46143</v>
      </c>
      <c r="E41" s="1">
        <v>1.5</v>
      </c>
      <c r="F41" s="3">
        <v>0.8</v>
      </c>
      <c r="G41" s="9">
        <v>0.45833333333333331</v>
      </c>
      <c r="H41" s="1" t="s">
        <v>50</v>
      </c>
      <c r="I41" s="3">
        <v>10.8</v>
      </c>
      <c r="J41" s="3">
        <v>10.7</v>
      </c>
      <c r="K41" s="3">
        <v>10.3</v>
      </c>
      <c r="L41" s="3">
        <v>10.9</v>
      </c>
      <c r="M41" s="1">
        <f t="shared" si="10"/>
        <v>10.675000000000001</v>
      </c>
      <c r="N41" s="1">
        <v>6.3</v>
      </c>
      <c r="O41" s="1">
        <f t="shared" si="11"/>
        <v>3.15</v>
      </c>
      <c r="P41" s="1">
        <f t="shared" si="12"/>
        <v>332.76593689848744</v>
      </c>
      <c r="Q41" s="1">
        <f t="shared" si="3"/>
        <v>2.4040922200641154E-3</v>
      </c>
      <c r="R41" s="1">
        <f t="shared" si="13"/>
        <v>415.95742112310927</v>
      </c>
      <c r="S41" s="4">
        <f t="shared" si="14"/>
        <v>6.9326236853851544</v>
      </c>
      <c r="T41" s="8" t="str">
        <f t="shared" si="15"/>
        <v>30_salt</v>
      </c>
      <c r="U41" s="1">
        <f t="shared" si="9"/>
        <v>4.8000000000000001E-2</v>
      </c>
    </row>
    <row r="42" spans="1:21" x14ac:dyDescent="0.2">
      <c r="A42" s="1">
        <v>16</v>
      </c>
      <c r="B42" s="1" t="s">
        <v>48</v>
      </c>
      <c r="C42" s="1" t="s">
        <v>38</v>
      </c>
      <c r="D42" s="2">
        <v>46143</v>
      </c>
      <c r="E42" s="1">
        <v>1.5</v>
      </c>
      <c r="F42" s="3">
        <v>2.2000000000000002</v>
      </c>
      <c r="G42" s="9">
        <v>0.45833333333333331</v>
      </c>
      <c r="H42" s="1" t="s">
        <v>50</v>
      </c>
      <c r="I42" s="3">
        <v>11</v>
      </c>
      <c r="J42" s="3">
        <v>10.8</v>
      </c>
      <c r="K42" s="3">
        <v>10.6</v>
      </c>
      <c r="L42" s="3">
        <v>11.2</v>
      </c>
      <c r="M42" s="1">
        <f t="shared" si="10"/>
        <v>10.899999999999999</v>
      </c>
      <c r="N42" s="1">
        <v>6.3</v>
      </c>
      <c r="O42" s="1">
        <f t="shared" si="11"/>
        <v>3.15</v>
      </c>
      <c r="P42" s="1">
        <f t="shared" si="12"/>
        <v>339.77973884716744</v>
      </c>
      <c r="Q42" s="1">
        <f t="shared" si="3"/>
        <v>6.4747827738768082E-3</v>
      </c>
      <c r="R42" s="1">
        <f t="shared" si="13"/>
        <v>154.44533583962155</v>
      </c>
      <c r="S42" s="4">
        <f t="shared" si="14"/>
        <v>2.5740889306603592</v>
      </c>
      <c r="T42" s="8" t="str">
        <f t="shared" si="15"/>
        <v>15_salt</v>
      </c>
      <c r="U42" s="1">
        <f t="shared" si="9"/>
        <v>0.13200000000000001</v>
      </c>
    </row>
    <row r="43" spans="1:21" x14ac:dyDescent="0.2">
      <c r="A43" s="1">
        <v>17</v>
      </c>
      <c r="B43" s="1" t="s">
        <v>48</v>
      </c>
      <c r="C43" s="1" t="s">
        <v>39</v>
      </c>
      <c r="D43" s="2">
        <v>46143</v>
      </c>
      <c r="E43" s="1">
        <v>1.5</v>
      </c>
      <c r="F43" s="3">
        <v>0.7</v>
      </c>
      <c r="G43" s="9">
        <v>0.45833333333333331</v>
      </c>
      <c r="H43" s="1" t="s">
        <v>50</v>
      </c>
      <c r="I43" s="3">
        <v>10.9</v>
      </c>
      <c r="J43" s="3">
        <v>10.199999999999999</v>
      </c>
      <c r="K43" s="3">
        <v>9.6999999999999993</v>
      </c>
      <c r="L43" s="3">
        <v>10.6</v>
      </c>
      <c r="M43" s="1">
        <f t="shared" si="10"/>
        <v>10.35</v>
      </c>
      <c r="N43" s="1">
        <v>6.3</v>
      </c>
      <c r="O43" s="1">
        <f t="shared" si="11"/>
        <v>3.15</v>
      </c>
      <c r="P43" s="1">
        <f t="shared" si="12"/>
        <v>322.63488963928285</v>
      </c>
      <c r="Q43" s="1">
        <f t="shared" si="3"/>
        <v>2.1696351587474762E-3</v>
      </c>
      <c r="R43" s="1">
        <f t="shared" si="13"/>
        <v>460.90698519897558</v>
      </c>
      <c r="S43" s="4">
        <f t="shared" si="14"/>
        <v>7.6817830866495926</v>
      </c>
      <c r="T43" s="8" t="str">
        <f t="shared" si="15"/>
        <v>27_salt</v>
      </c>
      <c r="U43" s="1">
        <f t="shared" si="9"/>
        <v>4.2000000000000003E-2</v>
      </c>
    </row>
    <row r="44" spans="1:21" x14ac:dyDescent="0.2">
      <c r="A44" s="1">
        <v>18</v>
      </c>
      <c r="B44" s="1" t="s">
        <v>48</v>
      </c>
      <c r="C44" s="1" t="s">
        <v>40</v>
      </c>
      <c r="D44" s="2">
        <v>46143</v>
      </c>
      <c r="E44" s="1">
        <v>1.5</v>
      </c>
      <c r="F44" s="3">
        <v>1.8</v>
      </c>
      <c r="G44" s="9">
        <v>0.45833333333333331</v>
      </c>
      <c r="H44" s="1" t="s">
        <v>50</v>
      </c>
      <c r="I44" s="3">
        <v>9.5</v>
      </c>
      <c r="J44" s="3">
        <v>9.5</v>
      </c>
      <c r="K44" s="3">
        <v>9.1999999999999993</v>
      </c>
      <c r="L44" s="3">
        <v>9.1999999999999993</v>
      </c>
      <c r="M44" s="1">
        <f t="shared" si="10"/>
        <v>9.35</v>
      </c>
      <c r="N44" s="1">
        <v>6.3</v>
      </c>
      <c r="O44" s="1">
        <f t="shared" si="11"/>
        <v>3.15</v>
      </c>
      <c r="P44" s="1">
        <f t="shared" si="12"/>
        <v>291.46243653403815</v>
      </c>
      <c r="Q44" s="1">
        <f t="shared" si="3"/>
        <v>6.1757529423171103E-3</v>
      </c>
      <c r="R44" s="1">
        <f t="shared" si="13"/>
        <v>161.9235758522434</v>
      </c>
      <c r="S44" s="4">
        <f t="shared" si="14"/>
        <v>2.6987262642040566</v>
      </c>
      <c r="T44" s="8" t="str">
        <f t="shared" si="15"/>
        <v>33_salt</v>
      </c>
      <c r="U44" s="1">
        <f t="shared" si="9"/>
        <v>0.10800000000000001</v>
      </c>
    </row>
    <row r="45" spans="1:21" x14ac:dyDescent="0.2">
      <c r="A45" s="1">
        <v>19</v>
      </c>
      <c r="B45" s="1" t="s">
        <v>48</v>
      </c>
      <c r="C45" s="1" t="s">
        <v>41</v>
      </c>
      <c r="D45" s="2">
        <v>46143</v>
      </c>
      <c r="E45" s="1">
        <v>1.5</v>
      </c>
      <c r="F45" s="3">
        <v>0.8</v>
      </c>
      <c r="G45" s="9">
        <v>0.45833333333333331</v>
      </c>
      <c r="H45" s="1" t="s">
        <v>50</v>
      </c>
      <c r="I45" s="3">
        <v>10.9</v>
      </c>
      <c r="J45" s="3">
        <v>10.5</v>
      </c>
      <c r="K45" s="3">
        <v>11.2</v>
      </c>
      <c r="L45" s="3">
        <v>11.1</v>
      </c>
      <c r="M45" s="1">
        <f t="shared" si="10"/>
        <v>10.924999999999999</v>
      </c>
      <c r="N45" s="1">
        <v>6.3</v>
      </c>
      <c r="O45" s="1">
        <f t="shared" si="11"/>
        <v>3.15</v>
      </c>
      <c r="P45" s="1">
        <f t="shared" si="12"/>
        <v>340.55905017479853</v>
      </c>
      <c r="Q45" s="1">
        <f t="shared" si="3"/>
        <v>2.3490786681175688E-3</v>
      </c>
      <c r="R45" s="1">
        <f t="shared" si="13"/>
        <v>425.69881271849817</v>
      </c>
      <c r="S45" s="4">
        <f t="shared" si="14"/>
        <v>7.0949802119749696</v>
      </c>
      <c r="T45" s="8" t="str">
        <f t="shared" si="15"/>
        <v>06_salt</v>
      </c>
      <c r="U45" s="1">
        <f t="shared" si="9"/>
        <v>4.8000000000000001E-2</v>
      </c>
    </row>
    <row r="46" spans="1:21" x14ac:dyDescent="0.2">
      <c r="A46" s="1">
        <v>20</v>
      </c>
      <c r="B46" s="1" t="s">
        <v>48</v>
      </c>
      <c r="C46" s="1" t="s">
        <v>42</v>
      </c>
      <c r="D46" s="2">
        <v>46143</v>
      </c>
      <c r="E46" s="1">
        <v>1.5</v>
      </c>
      <c r="F46" s="3">
        <v>1.2</v>
      </c>
      <c r="G46" s="9">
        <v>0.45833333333333331</v>
      </c>
      <c r="H46" s="1" t="s">
        <v>50</v>
      </c>
      <c r="I46" s="3">
        <v>11</v>
      </c>
      <c r="J46" s="3">
        <v>11.6</v>
      </c>
      <c r="K46" s="3">
        <v>11.3</v>
      </c>
      <c r="L46" s="3">
        <v>10.9</v>
      </c>
      <c r="M46" s="1">
        <f t="shared" si="10"/>
        <v>11.200000000000001</v>
      </c>
      <c r="N46" s="1">
        <v>6.3</v>
      </c>
      <c r="O46" s="1">
        <f t="shared" si="11"/>
        <v>3.15</v>
      </c>
      <c r="P46" s="1">
        <f t="shared" si="12"/>
        <v>349.13147477874088</v>
      </c>
      <c r="Q46" s="1">
        <f t="shared" si="3"/>
        <v>3.437100595872915E-3</v>
      </c>
      <c r="R46" s="1">
        <f t="shared" si="13"/>
        <v>290.94289564895075</v>
      </c>
      <c r="S46" s="4">
        <f t="shared" si="14"/>
        <v>4.8490482608158461</v>
      </c>
      <c r="T46" s="8" t="str">
        <f t="shared" si="15"/>
        <v>03_salt</v>
      </c>
      <c r="U46" s="1">
        <f t="shared" si="9"/>
        <v>7.1999999999999995E-2</v>
      </c>
    </row>
    <row r="47" spans="1:21" x14ac:dyDescent="0.2">
      <c r="A47" s="1">
        <v>21</v>
      </c>
      <c r="B47" s="1" t="s">
        <v>48</v>
      </c>
      <c r="C47" s="1" t="s">
        <v>43</v>
      </c>
      <c r="D47" s="2">
        <v>46143</v>
      </c>
      <c r="E47" s="1">
        <v>1.5</v>
      </c>
      <c r="F47" s="3">
        <v>1.1000000000000001</v>
      </c>
      <c r="G47" s="9">
        <v>0.45833333333333331</v>
      </c>
      <c r="H47" s="1" t="s">
        <v>50</v>
      </c>
      <c r="I47" s="3">
        <v>10.3</v>
      </c>
      <c r="J47" s="3">
        <v>10.199999999999999</v>
      </c>
      <c r="K47" s="3">
        <v>11.5</v>
      </c>
      <c r="L47" s="3">
        <v>11.5</v>
      </c>
      <c r="M47" s="1">
        <f t="shared" si="10"/>
        <v>10.875</v>
      </c>
      <c r="N47" s="1">
        <v>6.3</v>
      </c>
      <c r="O47" s="1">
        <f t="shared" si="11"/>
        <v>3.15</v>
      </c>
      <c r="P47" s="1">
        <f t="shared" si="12"/>
        <v>339.00042751953634</v>
      </c>
      <c r="Q47" s="1">
        <f t="shared" si="3"/>
        <v>3.2448336659888369E-3</v>
      </c>
      <c r="R47" s="1">
        <f t="shared" si="13"/>
        <v>308.18220683594211</v>
      </c>
      <c r="S47" s="4">
        <f t="shared" si="14"/>
        <v>5.1363701139323688</v>
      </c>
      <c r="T47" s="8" t="str">
        <f t="shared" si="15"/>
        <v>12_salt</v>
      </c>
      <c r="U47" s="1">
        <f t="shared" si="9"/>
        <v>6.6000000000000003E-2</v>
      </c>
    </row>
    <row r="48" spans="1:21" x14ac:dyDescent="0.2">
      <c r="A48" s="1">
        <v>22</v>
      </c>
      <c r="B48" s="1" t="s">
        <v>48</v>
      </c>
      <c r="C48" s="1" t="s">
        <v>44</v>
      </c>
      <c r="D48" s="2">
        <v>46143</v>
      </c>
      <c r="E48" s="1">
        <v>1.5</v>
      </c>
      <c r="F48" s="3">
        <v>1.4</v>
      </c>
      <c r="G48" s="9">
        <v>0.45833333333333331</v>
      </c>
      <c r="H48" s="1" t="s">
        <v>50</v>
      </c>
      <c r="I48" s="3">
        <v>12.8</v>
      </c>
      <c r="J48" s="3">
        <v>12.2</v>
      </c>
      <c r="K48" s="3">
        <v>12.6</v>
      </c>
      <c r="L48" s="3">
        <v>12.1</v>
      </c>
      <c r="M48" s="1">
        <f t="shared" si="10"/>
        <v>12.425000000000001</v>
      </c>
      <c r="N48" s="1">
        <v>6.3</v>
      </c>
      <c r="O48" s="1">
        <f t="shared" si="11"/>
        <v>3.15</v>
      </c>
      <c r="P48" s="1">
        <f t="shared" si="12"/>
        <v>387.31772983266569</v>
      </c>
      <c r="Q48" s="1">
        <f t="shared" si="3"/>
        <v>3.6146034435471032E-3</v>
      </c>
      <c r="R48" s="1">
        <f t="shared" si="13"/>
        <v>276.65552130904695</v>
      </c>
      <c r="S48" s="4">
        <f t="shared" si="14"/>
        <v>4.6109253551507825</v>
      </c>
      <c r="T48" s="8" t="str">
        <f t="shared" si="15"/>
        <v>18_salt</v>
      </c>
      <c r="U48" s="1">
        <f t="shared" si="9"/>
        <v>8.4000000000000005E-2</v>
      </c>
    </row>
    <row r="49" spans="1:21" x14ac:dyDescent="0.2">
      <c r="A49" s="1">
        <v>23</v>
      </c>
      <c r="B49" s="1" t="s">
        <v>48</v>
      </c>
      <c r="C49" s="1" t="s">
        <v>45</v>
      </c>
      <c r="D49" s="2">
        <v>46143</v>
      </c>
      <c r="E49" s="1">
        <v>1.5</v>
      </c>
      <c r="F49" s="3">
        <v>1.5</v>
      </c>
      <c r="G49" s="9">
        <v>0.45833333333333331</v>
      </c>
      <c r="H49" s="1" t="s">
        <v>50</v>
      </c>
      <c r="I49" s="3">
        <v>8.9</v>
      </c>
      <c r="J49" s="3">
        <v>8.6</v>
      </c>
      <c r="K49" s="3">
        <v>9.6</v>
      </c>
      <c r="L49" s="3">
        <v>8.5</v>
      </c>
      <c r="M49" s="1">
        <f t="shared" si="10"/>
        <v>8.9</v>
      </c>
      <c r="N49" s="1">
        <v>6.3</v>
      </c>
      <c r="O49" s="1">
        <f t="shared" si="11"/>
        <v>3.15</v>
      </c>
      <c r="P49" s="1">
        <f t="shared" si="12"/>
        <v>277.43483263667804</v>
      </c>
      <c r="Q49" s="1">
        <f t="shared" si="3"/>
        <v>5.4066750946315523E-3</v>
      </c>
      <c r="R49" s="1">
        <f t="shared" si="13"/>
        <v>184.95655509111867</v>
      </c>
      <c r="S49" s="4">
        <f t="shared" si="14"/>
        <v>3.0826092515186447</v>
      </c>
      <c r="T49" s="8" t="str">
        <f t="shared" si="15"/>
        <v>24_salt</v>
      </c>
      <c r="U49" s="1">
        <f t="shared" si="9"/>
        <v>0.09</v>
      </c>
    </row>
    <row r="50" spans="1:21" x14ac:dyDescent="0.2">
      <c r="A50" s="1">
        <v>24</v>
      </c>
      <c r="B50" s="1" t="s">
        <v>48</v>
      </c>
      <c r="C50" s="1" t="s">
        <v>46</v>
      </c>
      <c r="D50" s="2">
        <v>46143</v>
      </c>
      <c r="E50" s="1">
        <v>1.5</v>
      </c>
      <c r="F50" s="3">
        <v>0.9</v>
      </c>
      <c r="G50" s="9">
        <v>0.45833333333333331</v>
      </c>
      <c r="H50" s="1" t="s">
        <v>50</v>
      </c>
      <c r="I50" s="3">
        <v>9.6</v>
      </c>
      <c r="J50" s="3">
        <v>9.8000000000000007</v>
      </c>
      <c r="K50" s="3">
        <v>9.5</v>
      </c>
      <c r="L50" s="3">
        <v>9.8000000000000007</v>
      </c>
      <c r="M50" s="1">
        <f t="shared" si="10"/>
        <v>9.6750000000000007</v>
      </c>
      <c r="N50" s="1">
        <v>6.3</v>
      </c>
      <c r="O50" s="1">
        <f t="shared" si="11"/>
        <v>3.15</v>
      </c>
      <c r="P50" s="1">
        <f t="shared" si="12"/>
        <v>301.59348379324268</v>
      </c>
      <c r="Q50" s="1">
        <f t="shared" si="3"/>
        <v>2.9841493545563298E-3</v>
      </c>
      <c r="R50" s="1">
        <f t="shared" si="13"/>
        <v>335.10387088138071</v>
      </c>
      <c r="S50" s="4">
        <f t="shared" si="14"/>
        <v>5.5850645146896785</v>
      </c>
      <c r="T50" s="8" t="str">
        <f t="shared" si="15"/>
        <v>21_salt</v>
      </c>
      <c r="U50" s="1">
        <f t="shared" si="9"/>
        <v>5.4000000000000006E-2</v>
      </c>
    </row>
    <row r="51" spans="1:2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5"/>
      <c r="N51" s="5"/>
      <c r="O51" s="5"/>
      <c r="P51" s="5"/>
      <c r="Q51" s="5"/>
      <c r="R51" s="5"/>
      <c r="S51" s="6"/>
      <c r="T51" s="7"/>
      <c r="U51" s="7"/>
    </row>
    <row r="52" spans="1:21" x14ac:dyDescent="0.2">
      <c r="A52" t="s">
        <v>21</v>
      </c>
      <c r="F52" s="11"/>
      <c r="M52" s="14">
        <f>MAX(M2:M12, M15:M25, M27:M37, M40:M50)</f>
        <v>12.625</v>
      </c>
    </row>
    <row r="53" spans="1:21" x14ac:dyDescent="0.2">
      <c r="A53" t="s">
        <v>22</v>
      </c>
      <c r="M53" s="15">
        <f>MIN(M2:M12, M15:M25, M27:M37, M40:M50)</f>
        <v>7.8750000000000009</v>
      </c>
    </row>
    <row r="54" spans="1:21" x14ac:dyDescent="0.2">
      <c r="A54" t="s">
        <v>51</v>
      </c>
      <c r="U54">
        <f>AVERAGE(U2:U25,U27:U50)</f>
        <v>9.1125000000000012E-2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6FE3-6C20-9240-BBCD-3B448E683E0B}">
  <dimension ref="A1:U50"/>
  <sheetViews>
    <sheetView tabSelected="1" workbookViewId="0">
      <selection activeCell="V45" sqref="V45"/>
    </sheetView>
  </sheetViews>
  <sheetFormatPr baseColWidth="10" defaultRowHeight="16" x14ac:dyDescent="0.2"/>
  <cols>
    <col min="1" max="1" width="11.83203125" bestFit="1" customWidth="1"/>
    <col min="2" max="2" width="5.1640625" bestFit="1" customWidth="1"/>
    <col min="3" max="3" width="8.1640625" bestFit="1" customWidth="1"/>
    <col min="4" max="4" width="7.5" bestFit="1" customWidth="1"/>
    <col min="5" max="5" width="12" bestFit="1" customWidth="1"/>
    <col min="6" max="6" width="18" bestFit="1" customWidth="1"/>
    <col min="7" max="7" width="5.6640625" bestFit="1" customWidth="1"/>
    <col min="8" max="8" width="14.33203125" bestFit="1" customWidth="1"/>
    <col min="9" max="9" width="24.33203125" bestFit="1" customWidth="1"/>
    <col min="10" max="12" width="11.6640625" bestFit="1" customWidth="1"/>
    <col min="13" max="13" width="16.83203125" bestFit="1" customWidth="1"/>
    <col min="14" max="14" width="17.1640625" bestFit="1" customWidth="1"/>
    <col min="15" max="15" width="14.83203125" bestFit="1" customWidth="1"/>
    <col min="16" max="16" width="18.33203125" bestFit="1" customWidth="1"/>
    <col min="17" max="17" width="19.6640625" bestFit="1" customWidth="1"/>
    <col min="18" max="18" width="22.6640625" bestFit="1" customWidth="1"/>
    <col min="19" max="19" width="21.1640625" bestFit="1" customWidth="1"/>
    <col min="20" max="20" width="8.1640625" bestFit="1" customWidth="1"/>
    <col min="21" max="21" width="13.33203125" bestFit="1" customWidth="1"/>
  </cols>
  <sheetData>
    <row r="1" spans="1:21" x14ac:dyDescent="0.2">
      <c r="A1" s="1" t="s">
        <v>1</v>
      </c>
      <c r="B1" s="1" t="s">
        <v>4</v>
      </c>
      <c r="C1" s="1" t="s">
        <v>0</v>
      </c>
      <c r="D1" s="1" t="s">
        <v>3</v>
      </c>
      <c r="E1" s="1" t="s">
        <v>12</v>
      </c>
      <c r="F1" s="1" t="s">
        <v>13</v>
      </c>
      <c r="G1" s="8" t="s">
        <v>2</v>
      </c>
      <c r="H1" s="1" t="s">
        <v>11</v>
      </c>
      <c r="I1" s="10" t="s">
        <v>14</v>
      </c>
      <c r="J1" s="1" t="s">
        <v>8</v>
      </c>
      <c r="K1" s="1" t="s">
        <v>9</v>
      </c>
      <c r="L1" s="1" t="s">
        <v>10</v>
      </c>
      <c r="M1" s="1" t="s">
        <v>15</v>
      </c>
      <c r="N1" s="1" t="s">
        <v>16</v>
      </c>
      <c r="O1" s="1" t="s">
        <v>17</v>
      </c>
      <c r="P1" s="1" t="s">
        <v>6</v>
      </c>
      <c r="Q1" s="1" t="s">
        <v>7</v>
      </c>
      <c r="R1" s="1" t="s">
        <v>18</v>
      </c>
      <c r="S1" s="1" t="s">
        <v>19</v>
      </c>
      <c r="T1" s="8" t="s">
        <v>0</v>
      </c>
      <c r="U1" s="1" t="s">
        <v>20</v>
      </c>
    </row>
    <row r="2" spans="1:21" x14ac:dyDescent="0.2">
      <c r="A2" s="1">
        <v>1</v>
      </c>
      <c r="B2" s="1" t="s">
        <v>47</v>
      </c>
      <c r="C2" s="1" t="s">
        <v>23</v>
      </c>
      <c r="D2" s="2">
        <v>46141</v>
      </c>
      <c r="E2" s="1">
        <v>1.5</v>
      </c>
      <c r="F2" s="3">
        <v>2.2000000000000002</v>
      </c>
      <c r="G2" s="9">
        <v>0.4375</v>
      </c>
      <c r="H2" s="1" t="s">
        <v>49</v>
      </c>
      <c r="I2" s="3">
        <v>7.4</v>
      </c>
      <c r="J2" s="3">
        <v>10.6</v>
      </c>
      <c r="K2" s="3">
        <v>8.9</v>
      </c>
      <c r="L2" s="3">
        <v>7.3</v>
      </c>
      <c r="M2" s="1">
        <f>AVERAGE(I2:L2)</f>
        <v>8.5499999999999989</v>
      </c>
      <c r="N2" s="1">
        <v>6.3</v>
      </c>
      <c r="O2" s="1">
        <f>N2/2</f>
        <v>3.15</v>
      </c>
      <c r="P2" s="1">
        <f>PI()*(O2^2)*M2</f>
        <v>266.52447404984235</v>
      </c>
      <c r="Q2" s="1">
        <f>F2/P2</f>
        <v>8.2544014310242352E-3</v>
      </c>
      <c r="R2" s="1">
        <f>1/Q2</f>
        <v>121.14748820447377</v>
      </c>
      <c r="S2" s="4">
        <f>R2/60</f>
        <v>2.0191248034078964</v>
      </c>
      <c r="T2" s="8" t="str">
        <f>C2</f>
        <v>26_fresh</v>
      </c>
      <c r="U2" s="1">
        <f>F2*(1/1000)*(60/1)</f>
        <v>0.13200000000000001</v>
      </c>
    </row>
    <row r="3" spans="1:21" x14ac:dyDescent="0.2">
      <c r="A3" s="1">
        <v>2</v>
      </c>
      <c r="B3" s="1" t="s">
        <v>47</v>
      </c>
      <c r="C3" s="1" t="s">
        <v>24</v>
      </c>
      <c r="D3" s="2">
        <v>46141</v>
      </c>
      <c r="E3" s="1">
        <v>1.5</v>
      </c>
      <c r="F3" s="3">
        <v>2.6</v>
      </c>
      <c r="G3" s="9">
        <v>0.4375</v>
      </c>
      <c r="H3" s="1" t="s">
        <v>49</v>
      </c>
      <c r="I3" s="3">
        <v>9</v>
      </c>
      <c r="J3" s="3">
        <v>8.6</v>
      </c>
      <c r="K3" s="3">
        <v>9.6999999999999993</v>
      </c>
      <c r="L3" s="3">
        <v>9</v>
      </c>
      <c r="M3" s="1">
        <f t="shared" ref="M3:M25" si="0">AVERAGE(I3:L3)</f>
        <v>9.0749999999999993</v>
      </c>
      <c r="N3" s="1">
        <v>6.3</v>
      </c>
      <c r="O3" s="1">
        <f t="shared" ref="O3:O25" si="1">N3/2</f>
        <v>3.15</v>
      </c>
      <c r="P3" s="1">
        <f t="shared" ref="P3:P25" si="2">PI()*(O3^2)*M3</f>
        <v>282.8900119300958</v>
      </c>
      <c r="Q3" s="1">
        <f t="shared" ref="Q3:Q49" si="3">F3/P3</f>
        <v>9.1908511801486979E-3</v>
      </c>
      <c r="R3" s="1">
        <f t="shared" ref="R3:R25" si="4">1/Q3</f>
        <v>108.80385074234452</v>
      </c>
      <c r="S3" s="4">
        <f t="shared" ref="S3:S25" si="5">R3/60</f>
        <v>1.8133975123724086</v>
      </c>
      <c r="T3" s="8" t="str">
        <f t="shared" ref="T3:T25" si="6">C3</f>
        <v>20_fresh</v>
      </c>
      <c r="U3" s="1">
        <f t="shared" ref="U3:U49" si="7">F3*(1/1000)*(60/1)</f>
        <v>0.15600000000000003</v>
      </c>
    </row>
    <row r="4" spans="1:21" x14ac:dyDescent="0.2">
      <c r="A4" s="1">
        <v>3</v>
      </c>
      <c r="B4" s="1" t="s">
        <v>47</v>
      </c>
      <c r="C4" s="1" t="s">
        <v>25</v>
      </c>
      <c r="D4" s="2">
        <v>46141</v>
      </c>
      <c r="E4" s="1">
        <v>1.5</v>
      </c>
      <c r="F4" s="3">
        <v>2</v>
      </c>
      <c r="G4" s="9">
        <v>0.4375</v>
      </c>
      <c r="H4" s="1" t="s">
        <v>49</v>
      </c>
      <c r="I4" s="3">
        <v>11</v>
      </c>
      <c r="J4" s="3">
        <v>11</v>
      </c>
      <c r="K4" s="3">
        <v>11.3</v>
      </c>
      <c r="L4" s="3">
        <v>10.3</v>
      </c>
      <c r="M4" s="1">
        <f t="shared" si="0"/>
        <v>10.899999999999999</v>
      </c>
      <c r="N4" s="1">
        <v>6.3</v>
      </c>
      <c r="O4" s="1">
        <f t="shared" si="1"/>
        <v>3.15</v>
      </c>
      <c r="P4" s="1">
        <f t="shared" si="2"/>
        <v>339.77973884716744</v>
      </c>
      <c r="Q4" s="1">
        <f t="shared" si="3"/>
        <v>5.8861661580698246E-3</v>
      </c>
      <c r="R4" s="1">
        <f t="shared" si="4"/>
        <v>169.88986942358372</v>
      </c>
      <c r="S4" s="4">
        <f t="shared" si="5"/>
        <v>2.8314978237263952</v>
      </c>
      <c r="T4" s="8" t="str">
        <f t="shared" si="6"/>
        <v>08_fresh</v>
      </c>
      <c r="U4" s="1">
        <f t="shared" si="7"/>
        <v>0.12</v>
      </c>
    </row>
    <row r="5" spans="1:21" x14ac:dyDescent="0.2">
      <c r="A5" s="1">
        <v>4</v>
      </c>
      <c r="B5" s="1" t="s">
        <v>47</v>
      </c>
      <c r="C5" s="1" t="s">
        <v>26</v>
      </c>
      <c r="D5" s="2">
        <v>46141</v>
      </c>
      <c r="E5" s="1">
        <v>1.5</v>
      </c>
      <c r="F5" s="3">
        <v>1.8</v>
      </c>
      <c r="G5" s="9">
        <v>0.4375</v>
      </c>
      <c r="H5" s="1" t="s">
        <v>49</v>
      </c>
      <c r="I5" s="3">
        <v>10</v>
      </c>
      <c r="J5" s="3">
        <v>10.4</v>
      </c>
      <c r="K5" s="3">
        <v>9.6999999999999993</v>
      </c>
      <c r="L5" s="3">
        <v>9.4</v>
      </c>
      <c r="M5" s="1">
        <f t="shared" si="0"/>
        <v>9.875</v>
      </c>
      <c r="N5" s="1">
        <v>6.3</v>
      </c>
      <c r="O5" s="1">
        <f t="shared" si="1"/>
        <v>3.15</v>
      </c>
      <c r="P5" s="1">
        <f t="shared" si="2"/>
        <v>307.82797441429159</v>
      </c>
      <c r="Q5" s="1">
        <f t="shared" si="3"/>
        <v>5.8474217732318971E-3</v>
      </c>
      <c r="R5" s="1">
        <f t="shared" si="4"/>
        <v>171.01554134127312</v>
      </c>
      <c r="S5" s="4">
        <f t="shared" si="5"/>
        <v>2.8502590223545519</v>
      </c>
      <c r="T5" s="8" t="str">
        <f t="shared" si="6"/>
        <v>11_fresh</v>
      </c>
      <c r="U5" s="1">
        <f t="shared" si="7"/>
        <v>0.10800000000000001</v>
      </c>
    </row>
    <row r="6" spans="1:21" x14ac:dyDescent="0.2">
      <c r="A6" s="1">
        <v>5</v>
      </c>
      <c r="B6" s="1" t="s">
        <v>47</v>
      </c>
      <c r="C6" s="1" t="s">
        <v>27</v>
      </c>
      <c r="D6" s="2">
        <v>46141</v>
      </c>
      <c r="E6" s="1">
        <v>1.5</v>
      </c>
      <c r="F6" s="3">
        <v>2</v>
      </c>
      <c r="G6" s="9">
        <v>0.4375</v>
      </c>
      <c r="H6" s="1" t="s">
        <v>49</v>
      </c>
      <c r="I6" s="3">
        <v>10.8</v>
      </c>
      <c r="J6" s="3">
        <v>10.199999999999999</v>
      </c>
      <c r="K6" s="3">
        <v>10.4</v>
      </c>
      <c r="L6" s="3">
        <v>11.6</v>
      </c>
      <c r="M6" s="1">
        <f t="shared" si="0"/>
        <v>10.75</v>
      </c>
      <c r="N6" s="1">
        <v>6.3</v>
      </c>
      <c r="O6" s="1">
        <f t="shared" si="1"/>
        <v>3.15</v>
      </c>
      <c r="P6" s="1">
        <f t="shared" si="2"/>
        <v>335.10387088138077</v>
      </c>
      <c r="Q6" s="1">
        <f t="shared" si="3"/>
        <v>5.9682987091126587E-3</v>
      </c>
      <c r="R6" s="1">
        <f t="shared" si="4"/>
        <v>167.55193544069039</v>
      </c>
      <c r="S6" s="4">
        <f t="shared" si="5"/>
        <v>2.7925322573448397</v>
      </c>
      <c r="T6" s="8" t="str">
        <f t="shared" si="6"/>
        <v>02_fresh</v>
      </c>
      <c r="U6" s="1">
        <f t="shared" si="7"/>
        <v>0.12</v>
      </c>
    </row>
    <row r="7" spans="1:21" x14ac:dyDescent="0.2">
      <c r="A7" s="1">
        <v>6</v>
      </c>
      <c r="B7" s="1" t="s">
        <v>47</v>
      </c>
      <c r="C7" s="1" t="s">
        <v>28</v>
      </c>
      <c r="D7" s="2">
        <v>46141</v>
      </c>
      <c r="E7" s="1">
        <v>1.5</v>
      </c>
      <c r="F7" s="3">
        <v>1.9</v>
      </c>
      <c r="G7" s="9">
        <v>0.4375</v>
      </c>
      <c r="H7" s="1" t="s">
        <v>49</v>
      </c>
      <c r="I7" s="3">
        <v>9.5</v>
      </c>
      <c r="J7" s="3">
        <v>9</v>
      </c>
      <c r="K7" s="3">
        <v>9.4</v>
      </c>
      <c r="L7" s="3">
        <v>9</v>
      </c>
      <c r="M7" s="1">
        <f t="shared" si="0"/>
        <v>9.2249999999999996</v>
      </c>
      <c r="N7" s="1">
        <v>6.3</v>
      </c>
      <c r="O7" s="1">
        <f t="shared" si="1"/>
        <v>3.15</v>
      </c>
      <c r="P7" s="1">
        <f t="shared" si="2"/>
        <v>287.56587989588252</v>
      </c>
      <c r="Q7" s="1">
        <f t="shared" si="3"/>
        <v>6.6071816332588656E-3</v>
      </c>
      <c r="R7" s="1">
        <f t="shared" si="4"/>
        <v>151.35046310309608</v>
      </c>
      <c r="S7" s="4">
        <f t="shared" si="5"/>
        <v>2.5225077183849347</v>
      </c>
      <c r="T7" s="8" t="str">
        <f t="shared" si="6"/>
        <v>29_fresh</v>
      </c>
      <c r="U7" s="1">
        <f t="shared" si="7"/>
        <v>0.114</v>
      </c>
    </row>
    <row r="8" spans="1:21" x14ac:dyDescent="0.2">
      <c r="A8" s="1">
        <v>7</v>
      </c>
      <c r="B8" s="1" t="s">
        <v>47</v>
      </c>
      <c r="C8" s="1" t="s">
        <v>29</v>
      </c>
      <c r="D8" s="2">
        <v>46141</v>
      </c>
      <c r="E8" s="1">
        <v>1.5</v>
      </c>
      <c r="F8" s="3">
        <v>1.5</v>
      </c>
      <c r="G8" s="9">
        <v>0.4375</v>
      </c>
      <c r="H8" s="1" t="s">
        <v>49</v>
      </c>
      <c r="I8" s="3">
        <v>10.1</v>
      </c>
      <c r="J8" s="3">
        <v>9.8000000000000007</v>
      </c>
      <c r="K8" s="3">
        <v>10.7</v>
      </c>
      <c r="L8" s="3">
        <v>10.5</v>
      </c>
      <c r="M8" s="1">
        <f t="shared" si="0"/>
        <v>10.274999999999999</v>
      </c>
      <c r="N8" s="1">
        <v>6.3</v>
      </c>
      <c r="O8" s="1">
        <f t="shared" si="1"/>
        <v>3.15</v>
      </c>
      <c r="P8" s="1">
        <f t="shared" si="2"/>
        <v>320.29695565638946</v>
      </c>
      <c r="Q8" s="1">
        <f t="shared" si="3"/>
        <v>4.6831540965665032E-3</v>
      </c>
      <c r="R8" s="1">
        <f t="shared" si="4"/>
        <v>213.53130377092631</v>
      </c>
      <c r="S8" s="4">
        <f t="shared" si="5"/>
        <v>3.5588550628487718</v>
      </c>
      <c r="T8" s="8" t="str">
        <f t="shared" si="6"/>
        <v>05_fresh</v>
      </c>
      <c r="U8" s="1">
        <f t="shared" si="7"/>
        <v>0.09</v>
      </c>
    </row>
    <row r="9" spans="1:21" x14ac:dyDescent="0.2">
      <c r="A9" s="1">
        <v>8</v>
      </c>
      <c r="B9" s="1" t="s">
        <v>47</v>
      </c>
      <c r="C9" s="1" t="s">
        <v>30</v>
      </c>
      <c r="D9" s="2">
        <v>46141</v>
      </c>
      <c r="E9" s="1">
        <v>1.5</v>
      </c>
      <c r="F9" s="3">
        <v>2.4</v>
      </c>
      <c r="G9" s="9">
        <v>0.4375</v>
      </c>
      <c r="H9" s="1" t="s">
        <v>49</v>
      </c>
      <c r="I9" s="3">
        <v>10.199999999999999</v>
      </c>
      <c r="J9" s="3">
        <v>10.9</v>
      </c>
      <c r="K9" s="3">
        <v>10.1</v>
      </c>
      <c r="L9" s="3">
        <v>10.3</v>
      </c>
      <c r="M9" s="1">
        <f t="shared" si="0"/>
        <v>10.375</v>
      </c>
      <c r="N9" s="1">
        <v>6.3</v>
      </c>
      <c r="O9" s="1">
        <f t="shared" si="1"/>
        <v>3.15</v>
      </c>
      <c r="P9" s="1">
        <f t="shared" si="2"/>
        <v>323.414200966914</v>
      </c>
      <c r="Q9" s="1">
        <f t="shared" si="3"/>
        <v>7.4208244190412821E-3</v>
      </c>
      <c r="R9" s="1">
        <f t="shared" si="4"/>
        <v>134.75591706954751</v>
      </c>
      <c r="S9" s="4">
        <f t="shared" si="5"/>
        <v>2.2459319511591249</v>
      </c>
      <c r="T9" s="8" t="str">
        <f t="shared" si="6"/>
        <v>17_fresh</v>
      </c>
      <c r="U9" s="1">
        <f t="shared" si="7"/>
        <v>0.14399999999999999</v>
      </c>
    </row>
    <row r="10" spans="1:21" x14ac:dyDescent="0.2">
      <c r="A10" s="1">
        <v>9</v>
      </c>
      <c r="B10" s="1" t="s">
        <v>47</v>
      </c>
      <c r="C10" s="1" t="s">
        <v>31</v>
      </c>
      <c r="D10" s="2">
        <v>46141</v>
      </c>
      <c r="E10" s="1">
        <v>1.5</v>
      </c>
      <c r="F10" s="3">
        <v>1.1000000000000001</v>
      </c>
      <c r="G10" s="9">
        <v>0.4375</v>
      </c>
      <c r="H10" s="1" t="s">
        <v>49</v>
      </c>
      <c r="I10" s="3">
        <v>9.8000000000000007</v>
      </c>
      <c r="J10" s="3">
        <v>9.6</v>
      </c>
      <c r="K10" s="3">
        <v>9.6</v>
      </c>
      <c r="L10" s="3">
        <v>9.6999999999999993</v>
      </c>
      <c r="M10" s="1">
        <f t="shared" si="0"/>
        <v>9.6750000000000007</v>
      </c>
      <c r="N10" s="1">
        <v>6.3</v>
      </c>
      <c r="O10" s="1">
        <f t="shared" si="1"/>
        <v>3.15</v>
      </c>
      <c r="P10" s="1">
        <f t="shared" si="2"/>
        <v>301.59348379324268</v>
      </c>
      <c r="Q10" s="1">
        <f t="shared" si="3"/>
        <v>3.6472936555688477E-3</v>
      </c>
      <c r="R10" s="1">
        <f t="shared" si="4"/>
        <v>274.17589435749329</v>
      </c>
      <c r="S10" s="4">
        <f t="shared" si="5"/>
        <v>4.5695982392915546</v>
      </c>
      <c r="T10" s="8" t="str">
        <f t="shared" si="6"/>
        <v>23_fresh</v>
      </c>
      <c r="U10" s="1">
        <f t="shared" si="7"/>
        <v>6.6000000000000003E-2</v>
      </c>
    </row>
    <row r="11" spans="1:21" x14ac:dyDescent="0.2">
      <c r="A11" s="1">
        <v>10</v>
      </c>
      <c r="B11" s="1" t="s">
        <v>47</v>
      </c>
      <c r="C11" s="1" t="s">
        <v>32</v>
      </c>
      <c r="D11" s="2">
        <v>46141</v>
      </c>
      <c r="E11" s="1">
        <v>1.5</v>
      </c>
      <c r="F11" s="3">
        <v>2.8</v>
      </c>
      <c r="G11" s="9">
        <v>0.4375</v>
      </c>
      <c r="H11" s="1" t="s">
        <v>49</v>
      </c>
      <c r="I11" s="3">
        <v>12.1</v>
      </c>
      <c r="J11" s="3">
        <v>12.3</v>
      </c>
      <c r="K11" s="3">
        <v>12.9</v>
      </c>
      <c r="L11" s="3">
        <v>13.2</v>
      </c>
      <c r="M11" s="1">
        <f t="shared" si="0"/>
        <v>12.625</v>
      </c>
      <c r="N11" s="1">
        <v>6.3</v>
      </c>
      <c r="O11" s="1">
        <f t="shared" si="1"/>
        <v>3.15</v>
      </c>
      <c r="P11" s="1">
        <f t="shared" si="2"/>
        <v>393.5522204537146</v>
      </c>
      <c r="Q11" s="1">
        <f t="shared" si="3"/>
        <v>7.1146847977937048E-3</v>
      </c>
      <c r="R11" s="1">
        <f t="shared" si="4"/>
        <v>140.5543644477552</v>
      </c>
      <c r="S11" s="4">
        <f t="shared" si="5"/>
        <v>2.3425727407959203</v>
      </c>
      <c r="T11" s="8" t="str">
        <f t="shared" si="6"/>
        <v>14_fresh</v>
      </c>
      <c r="U11" s="1">
        <f t="shared" si="7"/>
        <v>0.16800000000000001</v>
      </c>
    </row>
    <row r="12" spans="1:21" x14ac:dyDescent="0.2">
      <c r="A12" s="1">
        <v>11</v>
      </c>
      <c r="B12" s="1" t="s">
        <v>47</v>
      </c>
      <c r="C12" s="1" t="s">
        <v>33</v>
      </c>
      <c r="D12" s="2">
        <v>46141</v>
      </c>
      <c r="E12" s="1">
        <v>1.5</v>
      </c>
      <c r="F12" s="3">
        <v>1.3</v>
      </c>
      <c r="G12" s="9">
        <v>0.4375</v>
      </c>
      <c r="H12" s="1" t="s">
        <v>49</v>
      </c>
      <c r="I12" s="3">
        <v>8.3000000000000007</v>
      </c>
      <c r="J12" s="3">
        <v>7</v>
      </c>
      <c r="K12" s="3">
        <v>7.9</v>
      </c>
      <c r="L12" s="3">
        <v>8.3000000000000007</v>
      </c>
      <c r="M12" s="1">
        <f t="shared" si="0"/>
        <v>7.8750000000000009</v>
      </c>
      <c r="N12" s="1">
        <v>6.3</v>
      </c>
      <c r="O12" s="1">
        <f t="shared" si="1"/>
        <v>3.15</v>
      </c>
      <c r="P12" s="1">
        <f t="shared" si="2"/>
        <v>245.48306820380219</v>
      </c>
      <c r="Q12" s="1">
        <f t="shared" si="3"/>
        <v>5.2956809180856766E-3</v>
      </c>
      <c r="R12" s="1">
        <f t="shared" si="4"/>
        <v>188.83312938754017</v>
      </c>
      <c r="S12" s="4">
        <f t="shared" si="5"/>
        <v>3.1472188231256695</v>
      </c>
      <c r="T12" s="8" t="str">
        <f t="shared" si="6"/>
        <v>32_fresh</v>
      </c>
      <c r="U12" s="1">
        <f t="shared" si="7"/>
        <v>7.8000000000000014E-2</v>
      </c>
    </row>
    <row r="13" spans="1:21" x14ac:dyDescent="0.2">
      <c r="A13" s="1">
        <v>12</v>
      </c>
      <c r="B13" s="1" t="s">
        <v>47</v>
      </c>
      <c r="C13" s="1" t="s">
        <v>34</v>
      </c>
      <c r="D13" s="2">
        <v>46141</v>
      </c>
      <c r="E13" s="1">
        <v>1.5</v>
      </c>
      <c r="F13" s="3">
        <v>0.9</v>
      </c>
      <c r="G13" s="9">
        <v>0.4375</v>
      </c>
      <c r="H13" s="1" t="s">
        <v>49</v>
      </c>
      <c r="I13" s="1" t="s">
        <v>5</v>
      </c>
      <c r="J13" s="1" t="s">
        <v>5</v>
      </c>
      <c r="K13" s="1" t="s">
        <v>5</v>
      </c>
      <c r="L13" s="1" t="s">
        <v>5</v>
      </c>
      <c r="M13" s="1" t="s">
        <v>5</v>
      </c>
      <c r="N13" s="1" t="s">
        <v>5</v>
      </c>
      <c r="O13" s="1" t="s">
        <v>5</v>
      </c>
      <c r="P13" s="1" t="s">
        <v>5</v>
      </c>
      <c r="Q13" s="1" t="s">
        <v>5</v>
      </c>
      <c r="R13" s="1" t="s">
        <v>5</v>
      </c>
      <c r="S13" s="1" t="s">
        <v>5</v>
      </c>
      <c r="T13" s="8" t="str">
        <f t="shared" si="6"/>
        <v>BP_fresh</v>
      </c>
      <c r="U13" s="1">
        <f t="shared" si="7"/>
        <v>5.4000000000000006E-2</v>
      </c>
    </row>
    <row r="14" spans="1:21" x14ac:dyDescent="0.2">
      <c r="A14" s="1">
        <v>13</v>
      </c>
      <c r="B14" s="1" t="s">
        <v>48</v>
      </c>
      <c r="C14" s="1" t="s">
        <v>35</v>
      </c>
      <c r="D14" s="2">
        <v>46141</v>
      </c>
      <c r="E14" s="1">
        <v>1.5</v>
      </c>
      <c r="F14" s="3">
        <v>2</v>
      </c>
      <c r="G14" s="9">
        <v>0.4375</v>
      </c>
      <c r="H14" s="1" t="s">
        <v>49</v>
      </c>
      <c r="I14" s="1" t="s">
        <v>5</v>
      </c>
      <c r="J14" s="1" t="s">
        <v>5</v>
      </c>
      <c r="K14" s="1" t="s">
        <v>5</v>
      </c>
      <c r="L14" s="1" t="s">
        <v>5</v>
      </c>
      <c r="M14" s="1" t="s">
        <v>5</v>
      </c>
      <c r="N14" s="1" t="s">
        <v>5</v>
      </c>
      <c r="O14" s="1" t="s">
        <v>5</v>
      </c>
      <c r="P14" s="1" t="s">
        <v>5</v>
      </c>
      <c r="Q14" s="1" t="s">
        <v>5</v>
      </c>
      <c r="R14" s="1" t="s">
        <v>5</v>
      </c>
      <c r="S14" s="1" t="s">
        <v>5</v>
      </c>
      <c r="T14" s="8" t="str">
        <f t="shared" si="6"/>
        <v>BP_salt</v>
      </c>
      <c r="U14" s="1">
        <f t="shared" si="7"/>
        <v>0.12</v>
      </c>
    </row>
    <row r="15" spans="1:21" x14ac:dyDescent="0.2">
      <c r="A15" s="1">
        <v>14</v>
      </c>
      <c r="B15" s="1" t="s">
        <v>48</v>
      </c>
      <c r="C15" s="1" t="s">
        <v>36</v>
      </c>
      <c r="D15" s="2">
        <v>46141</v>
      </c>
      <c r="E15" s="1">
        <v>1.5</v>
      </c>
      <c r="F15" s="3">
        <v>0.9</v>
      </c>
      <c r="G15" s="9">
        <v>0.4375</v>
      </c>
      <c r="H15" s="1" t="s">
        <v>49</v>
      </c>
      <c r="I15" s="3">
        <v>9.1</v>
      </c>
      <c r="J15" s="3">
        <v>9.6</v>
      </c>
      <c r="K15" s="3">
        <v>9.3000000000000007</v>
      </c>
      <c r="L15" s="3">
        <v>8.6999999999999993</v>
      </c>
      <c r="M15" s="1">
        <f t="shared" si="0"/>
        <v>9.1750000000000007</v>
      </c>
      <c r="N15" s="1">
        <v>6.3</v>
      </c>
      <c r="O15" s="1">
        <f t="shared" si="1"/>
        <v>3.15</v>
      </c>
      <c r="P15" s="1">
        <f t="shared" si="2"/>
        <v>286.00725724062033</v>
      </c>
      <c r="Q15" s="1">
        <f t="shared" si="3"/>
        <v>3.1467732975839226E-3</v>
      </c>
      <c r="R15" s="1">
        <f t="shared" si="4"/>
        <v>317.78584137846701</v>
      </c>
      <c r="S15" s="4">
        <f t="shared" si="5"/>
        <v>5.2964306896411166</v>
      </c>
      <c r="T15" s="8" t="str">
        <f t="shared" si="6"/>
        <v>09_salt</v>
      </c>
      <c r="U15" s="1">
        <f t="shared" si="7"/>
        <v>5.4000000000000006E-2</v>
      </c>
    </row>
    <row r="16" spans="1:21" x14ac:dyDescent="0.2">
      <c r="A16" s="1">
        <v>15</v>
      </c>
      <c r="B16" s="1" t="s">
        <v>48</v>
      </c>
      <c r="C16" s="1" t="s">
        <v>37</v>
      </c>
      <c r="D16" s="2">
        <v>46141</v>
      </c>
      <c r="E16" s="1">
        <v>1.5</v>
      </c>
      <c r="F16" s="3">
        <v>1</v>
      </c>
      <c r="G16" s="9">
        <v>0.4375</v>
      </c>
      <c r="H16" s="1" t="s">
        <v>49</v>
      </c>
      <c r="I16" s="3">
        <v>10.8</v>
      </c>
      <c r="J16" s="3">
        <v>10.7</v>
      </c>
      <c r="K16" s="3">
        <v>10.3</v>
      </c>
      <c r="L16" s="3">
        <v>10.9</v>
      </c>
      <c r="M16" s="1">
        <f t="shared" si="0"/>
        <v>10.675000000000001</v>
      </c>
      <c r="N16" s="1">
        <v>6.3</v>
      </c>
      <c r="O16" s="1">
        <f t="shared" si="1"/>
        <v>3.15</v>
      </c>
      <c r="P16" s="1">
        <f t="shared" si="2"/>
        <v>332.76593689848744</v>
      </c>
      <c r="Q16" s="1">
        <f t="shared" si="3"/>
        <v>3.005115275080144E-3</v>
      </c>
      <c r="R16" s="1">
        <f t="shared" si="4"/>
        <v>332.76593689848744</v>
      </c>
      <c r="S16" s="4">
        <f t="shared" si="5"/>
        <v>5.5460989483081242</v>
      </c>
      <c r="T16" s="8" t="str">
        <f t="shared" si="6"/>
        <v>30_salt</v>
      </c>
      <c r="U16" s="1">
        <f t="shared" si="7"/>
        <v>0.06</v>
      </c>
    </row>
    <row r="17" spans="1:21" x14ac:dyDescent="0.2">
      <c r="A17" s="1">
        <v>16</v>
      </c>
      <c r="B17" s="1" t="s">
        <v>48</v>
      </c>
      <c r="C17" s="1" t="s">
        <v>38</v>
      </c>
      <c r="D17" s="2">
        <v>46141</v>
      </c>
      <c r="E17" s="1">
        <v>1.5</v>
      </c>
      <c r="F17" s="3">
        <v>2.4</v>
      </c>
      <c r="G17" s="9">
        <v>0.4375</v>
      </c>
      <c r="H17" s="1" t="s">
        <v>49</v>
      </c>
      <c r="I17" s="3">
        <v>11</v>
      </c>
      <c r="J17" s="3">
        <v>10.8</v>
      </c>
      <c r="K17" s="3">
        <v>10.6</v>
      </c>
      <c r="L17" s="3">
        <v>11.2</v>
      </c>
      <c r="M17" s="1">
        <f t="shared" si="0"/>
        <v>10.899999999999999</v>
      </c>
      <c r="N17" s="1">
        <v>6.3</v>
      </c>
      <c r="O17" s="1">
        <f t="shared" si="1"/>
        <v>3.15</v>
      </c>
      <c r="P17" s="1">
        <f t="shared" si="2"/>
        <v>339.77973884716744</v>
      </c>
      <c r="Q17" s="1">
        <f t="shared" si="3"/>
        <v>7.0633993896837893E-3</v>
      </c>
      <c r="R17" s="1">
        <f t="shared" si="4"/>
        <v>141.57489118631977</v>
      </c>
      <c r="S17" s="4">
        <f t="shared" si="5"/>
        <v>2.359581519771996</v>
      </c>
      <c r="T17" s="8" t="str">
        <f t="shared" si="6"/>
        <v>15_salt</v>
      </c>
      <c r="U17" s="1">
        <f t="shared" si="7"/>
        <v>0.14399999999999999</v>
      </c>
    </row>
    <row r="18" spans="1:21" x14ac:dyDescent="0.2">
      <c r="A18" s="1">
        <v>17</v>
      </c>
      <c r="B18" s="1" t="s">
        <v>48</v>
      </c>
      <c r="C18" s="1" t="s">
        <v>39</v>
      </c>
      <c r="D18" s="2">
        <v>46141</v>
      </c>
      <c r="E18" s="1">
        <v>1.5</v>
      </c>
      <c r="F18" s="3">
        <v>0.9</v>
      </c>
      <c r="G18" s="9">
        <v>0.4375</v>
      </c>
      <c r="H18" s="1" t="s">
        <v>49</v>
      </c>
      <c r="I18" s="3">
        <v>10.9</v>
      </c>
      <c r="J18" s="3">
        <v>10.199999999999999</v>
      </c>
      <c r="K18" s="3">
        <v>9.6999999999999993</v>
      </c>
      <c r="L18" s="3">
        <v>10.6</v>
      </c>
      <c r="M18" s="1">
        <f t="shared" si="0"/>
        <v>10.35</v>
      </c>
      <c r="N18" s="1">
        <v>6.3</v>
      </c>
      <c r="O18" s="1">
        <f t="shared" si="1"/>
        <v>3.15</v>
      </c>
      <c r="P18" s="1">
        <f t="shared" si="2"/>
        <v>322.63488963928285</v>
      </c>
      <c r="Q18" s="1">
        <f t="shared" si="3"/>
        <v>2.7895309183896128E-3</v>
      </c>
      <c r="R18" s="1">
        <f t="shared" si="4"/>
        <v>358.48321071031427</v>
      </c>
      <c r="S18" s="4">
        <f t="shared" si="5"/>
        <v>5.9747201785052377</v>
      </c>
      <c r="T18" s="8" t="str">
        <f t="shared" si="6"/>
        <v>27_salt</v>
      </c>
      <c r="U18" s="1">
        <f t="shared" si="7"/>
        <v>5.4000000000000006E-2</v>
      </c>
    </row>
    <row r="19" spans="1:21" x14ac:dyDescent="0.2">
      <c r="A19" s="1">
        <v>18</v>
      </c>
      <c r="B19" s="1" t="s">
        <v>48</v>
      </c>
      <c r="C19" s="1" t="s">
        <v>40</v>
      </c>
      <c r="D19" s="2">
        <v>46141</v>
      </c>
      <c r="E19" s="1">
        <v>1.5</v>
      </c>
      <c r="F19" s="3">
        <v>2.2000000000000002</v>
      </c>
      <c r="G19" s="9">
        <v>0.4375</v>
      </c>
      <c r="H19" s="1" t="s">
        <v>49</v>
      </c>
      <c r="I19" s="3">
        <v>9.5</v>
      </c>
      <c r="J19" s="3">
        <v>9.5</v>
      </c>
      <c r="K19" s="3">
        <v>9.1999999999999993</v>
      </c>
      <c r="L19" s="3">
        <v>9.1999999999999993</v>
      </c>
      <c r="M19" s="1">
        <f t="shared" si="0"/>
        <v>9.35</v>
      </c>
      <c r="N19" s="1">
        <v>6.3</v>
      </c>
      <c r="O19" s="1">
        <f t="shared" si="1"/>
        <v>3.15</v>
      </c>
      <c r="P19" s="1">
        <f t="shared" si="2"/>
        <v>291.46243653403815</v>
      </c>
      <c r="Q19" s="1">
        <f t="shared" si="3"/>
        <v>7.5481424850542458E-3</v>
      </c>
      <c r="R19" s="1">
        <f t="shared" si="4"/>
        <v>132.48292569729006</v>
      </c>
      <c r="S19" s="4">
        <f t="shared" si="5"/>
        <v>2.2080487616215008</v>
      </c>
      <c r="T19" s="8" t="str">
        <f t="shared" si="6"/>
        <v>33_salt</v>
      </c>
      <c r="U19" s="1">
        <f t="shared" si="7"/>
        <v>0.13200000000000001</v>
      </c>
    </row>
    <row r="20" spans="1:21" x14ac:dyDescent="0.2">
      <c r="A20" s="1">
        <v>19</v>
      </c>
      <c r="B20" s="1" t="s">
        <v>48</v>
      </c>
      <c r="C20" s="1" t="s">
        <v>41</v>
      </c>
      <c r="D20" s="2">
        <v>46141</v>
      </c>
      <c r="E20" s="1">
        <v>1.5</v>
      </c>
      <c r="F20" s="3">
        <v>1.1000000000000001</v>
      </c>
      <c r="G20" s="9">
        <v>0.4375</v>
      </c>
      <c r="H20" s="1" t="s">
        <v>49</v>
      </c>
      <c r="I20" s="3">
        <v>10.9</v>
      </c>
      <c r="J20" s="3">
        <v>10.5</v>
      </c>
      <c r="K20" s="3">
        <v>11.2</v>
      </c>
      <c r="L20" s="3">
        <v>11.1</v>
      </c>
      <c r="M20" s="1">
        <f t="shared" si="0"/>
        <v>10.924999999999999</v>
      </c>
      <c r="N20" s="1">
        <v>6.3</v>
      </c>
      <c r="O20" s="1">
        <f t="shared" si="1"/>
        <v>3.15</v>
      </c>
      <c r="P20" s="1">
        <f t="shared" si="2"/>
        <v>340.55905017479853</v>
      </c>
      <c r="Q20" s="1">
        <f t="shared" si="3"/>
        <v>3.2299831686616572E-3</v>
      </c>
      <c r="R20" s="1">
        <f t="shared" si="4"/>
        <v>309.59913652254409</v>
      </c>
      <c r="S20" s="4">
        <f t="shared" si="5"/>
        <v>5.1599856087090679</v>
      </c>
      <c r="T20" s="8" t="str">
        <f t="shared" si="6"/>
        <v>06_salt</v>
      </c>
      <c r="U20" s="1">
        <f t="shared" si="7"/>
        <v>6.6000000000000003E-2</v>
      </c>
    </row>
    <row r="21" spans="1:21" x14ac:dyDescent="0.2">
      <c r="A21" s="1">
        <v>20</v>
      </c>
      <c r="B21" s="1" t="s">
        <v>48</v>
      </c>
      <c r="C21" s="1" t="s">
        <v>42</v>
      </c>
      <c r="D21" s="2">
        <v>46141</v>
      </c>
      <c r="E21" s="1">
        <v>1.5</v>
      </c>
      <c r="F21" s="3">
        <v>1.6</v>
      </c>
      <c r="G21" s="9">
        <v>0.4375</v>
      </c>
      <c r="H21" s="1" t="s">
        <v>49</v>
      </c>
      <c r="I21" s="3">
        <v>11</v>
      </c>
      <c r="J21" s="3">
        <v>11.6</v>
      </c>
      <c r="K21" s="3">
        <v>11.3</v>
      </c>
      <c r="L21" s="3">
        <v>10.9</v>
      </c>
      <c r="M21" s="1">
        <f t="shared" si="0"/>
        <v>11.200000000000001</v>
      </c>
      <c r="N21" s="1">
        <v>6.3</v>
      </c>
      <c r="O21" s="1">
        <f t="shared" si="1"/>
        <v>3.15</v>
      </c>
      <c r="P21" s="1">
        <f t="shared" si="2"/>
        <v>349.13147477874088</v>
      </c>
      <c r="Q21" s="1">
        <f t="shared" si="3"/>
        <v>4.5828007944972203E-3</v>
      </c>
      <c r="R21" s="1">
        <f t="shared" si="4"/>
        <v>218.20717173671306</v>
      </c>
      <c r="S21" s="4">
        <f t="shared" si="5"/>
        <v>3.6367861956118843</v>
      </c>
      <c r="T21" s="8" t="str">
        <f t="shared" si="6"/>
        <v>03_salt</v>
      </c>
      <c r="U21" s="1">
        <f t="shared" si="7"/>
        <v>9.6000000000000002E-2</v>
      </c>
    </row>
    <row r="22" spans="1:21" x14ac:dyDescent="0.2">
      <c r="A22" s="1">
        <v>21</v>
      </c>
      <c r="B22" s="1" t="s">
        <v>48</v>
      </c>
      <c r="C22" s="1" t="s">
        <v>43</v>
      </c>
      <c r="D22" s="2">
        <v>46141</v>
      </c>
      <c r="E22" s="1">
        <v>1.5</v>
      </c>
      <c r="F22" s="3">
        <v>1.3</v>
      </c>
      <c r="G22" s="9">
        <v>0.4375</v>
      </c>
      <c r="H22" s="1" t="s">
        <v>49</v>
      </c>
      <c r="I22" s="3">
        <v>10.3</v>
      </c>
      <c r="J22" s="3">
        <v>10.199999999999999</v>
      </c>
      <c r="K22" s="3">
        <v>11.5</v>
      </c>
      <c r="L22" s="3">
        <v>11.5</v>
      </c>
      <c r="M22" s="1">
        <f t="shared" si="0"/>
        <v>10.875</v>
      </c>
      <c r="N22" s="1">
        <v>6.3</v>
      </c>
      <c r="O22" s="1">
        <f t="shared" si="1"/>
        <v>3.15</v>
      </c>
      <c r="P22" s="1">
        <f t="shared" si="2"/>
        <v>339.00042751953634</v>
      </c>
      <c r="Q22" s="1">
        <f t="shared" si="3"/>
        <v>3.8348034234413526E-3</v>
      </c>
      <c r="R22" s="1">
        <f t="shared" si="4"/>
        <v>260.76955963041257</v>
      </c>
      <c r="S22" s="4">
        <f t="shared" si="5"/>
        <v>4.3461593271735426</v>
      </c>
      <c r="T22" s="8" t="str">
        <f t="shared" si="6"/>
        <v>12_salt</v>
      </c>
      <c r="U22" s="1">
        <f t="shared" si="7"/>
        <v>7.8000000000000014E-2</v>
      </c>
    </row>
    <row r="23" spans="1:21" x14ac:dyDescent="0.2">
      <c r="A23" s="1">
        <v>22</v>
      </c>
      <c r="B23" s="1" t="s">
        <v>48</v>
      </c>
      <c r="C23" s="1" t="s">
        <v>44</v>
      </c>
      <c r="D23" s="2">
        <v>46141</v>
      </c>
      <c r="E23" s="1">
        <v>1.5</v>
      </c>
      <c r="F23" s="3">
        <v>1.6</v>
      </c>
      <c r="G23" s="9">
        <v>0.4375</v>
      </c>
      <c r="H23" s="1" t="s">
        <v>49</v>
      </c>
      <c r="I23" s="3">
        <v>12.8</v>
      </c>
      <c r="J23" s="3">
        <v>12.2</v>
      </c>
      <c r="K23" s="3">
        <v>12.6</v>
      </c>
      <c r="L23" s="3">
        <v>12.1</v>
      </c>
      <c r="M23" s="1">
        <f t="shared" si="0"/>
        <v>12.425000000000001</v>
      </c>
      <c r="N23" s="1">
        <v>6.3</v>
      </c>
      <c r="O23" s="1">
        <f t="shared" si="1"/>
        <v>3.15</v>
      </c>
      <c r="P23" s="1">
        <f t="shared" si="2"/>
        <v>387.31772983266569</v>
      </c>
      <c r="Q23" s="1">
        <f t="shared" si="3"/>
        <v>4.1309753640538325E-3</v>
      </c>
      <c r="R23" s="1">
        <f t="shared" si="4"/>
        <v>242.07358114541606</v>
      </c>
      <c r="S23" s="4">
        <f t="shared" si="5"/>
        <v>4.0345596857569346</v>
      </c>
      <c r="T23" s="8" t="str">
        <f t="shared" si="6"/>
        <v>18_salt</v>
      </c>
      <c r="U23" s="1">
        <f t="shared" si="7"/>
        <v>9.6000000000000002E-2</v>
      </c>
    </row>
    <row r="24" spans="1:21" x14ac:dyDescent="0.2">
      <c r="A24" s="1">
        <v>23</v>
      </c>
      <c r="B24" s="1" t="s">
        <v>48</v>
      </c>
      <c r="C24" s="1" t="s">
        <v>45</v>
      </c>
      <c r="D24" s="2">
        <v>46141</v>
      </c>
      <c r="E24" s="1">
        <v>1.5</v>
      </c>
      <c r="F24" s="3">
        <v>2</v>
      </c>
      <c r="G24" s="9">
        <v>0.4375</v>
      </c>
      <c r="H24" s="1" t="s">
        <v>49</v>
      </c>
      <c r="I24" s="3">
        <v>8.9</v>
      </c>
      <c r="J24" s="3">
        <v>8.6</v>
      </c>
      <c r="K24" s="3">
        <v>9.6</v>
      </c>
      <c r="L24" s="3">
        <v>8.5</v>
      </c>
      <c r="M24" s="1">
        <f t="shared" si="0"/>
        <v>8.9</v>
      </c>
      <c r="N24" s="1">
        <v>6.3</v>
      </c>
      <c r="O24" s="1">
        <f t="shared" si="1"/>
        <v>3.15</v>
      </c>
      <c r="P24" s="1">
        <f t="shared" si="2"/>
        <v>277.43483263667804</v>
      </c>
      <c r="Q24" s="1">
        <f t="shared" si="3"/>
        <v>7.2089001261754024E-3</v>
      </c>
      <c r="R24" s="1">
        <f t="shared" si="4"/>
        <v>138.71741631833902</v>
      </c>
      <c r="S24" s="4">
        <f t="shared" si="5"/>
        <v>2.3119569386389838</v>
      </c>
      <c r="T24" s="8" t="str">
        <f t="shared" si="6"/>
        <v>24_salt</v>
      </c>
      <c r="U24" s="1">
        <f t="shared" si="7"/>
        <v>0.12</v>
      </c>
    </row>
    <row r="25" spans="1:21" x14ac:dyDescent="0.2">
      <c r="A25" s="1">
        <v>24</v>
      </c>
      <c r="B25" s="1" t="s">
        <v>48</v>
      </c>
      <c r="C25" s="1" t="s">
        <v>46</v>
      </c>
      <c r="D25" s="2">
        <v>46141</v>
      </c>
      <c r="E25" s="1">
        <v>1.5</v>
      </c>
      <c r="F25" s="3">
        <v>1</v>
      </c>
      <c r="G25" s="9">
        <v>0.4375</v>
      </c>
      <c r="H25" s="1" t="s">
        <v>49</v>
      </c>
      <c r="I25" s="3">
        <v>9.6</v>
      </c>
      <c r="J25" s="3">
        <v>9.8000000000000007</v>
      </c>
      <c r="K25" s="3">
        <v>9.5</v>
      </c>
      <c r="L25" s="3">
        <v>9.8000000000000007</v>
      </c>
      <c r="M25" s="1">
        <f t="shared" si="0"/>
        <v>9.6750000000000007</v>
      </c>
      <c r="N25" s="1">
        <v>6.3</v>
      </c>
      <c r="O25" s="1">
        <f t="shared" si="1"/>
        <v>3.15</v>
      </c>
      <c r="P25" s="1">
        <f t="shared" si="2"/>
        <v>301.59348379324268</v>
      </c>
      <c r="Q25" s="1">
        <f t="shared" si="3"/>
        <v>3.3157215050625883E-3</v>
      </c>
      <c r="R25" s="1">
        <f t="shared" si="4"/>
        <v>301.59348379324268</v>
      </c>
      <c r="S25" s="4">
        <f t="shared" si="5"/>
        <v>5.026558063220711</v>
      </c>
      <c r="T25" s="8" t="str">
        <f t="shared" si="6"/>
        <v>21_salt</v>
      </c>
      <c r="U25" s="1">
        <f t="shared" si="7"/>
        <v>0.06</v>
      </c>
    </row>
    <row r="26" spans="1:21" x14ac:dyDescent="0.2">
      <c r="A26" s="1">
        <v>1</v>
      </c>
      <c r="B26" s="1" t="s">
        <v>47</v>
      </c>
      <c r="C26" s="1" t="s">
        <v>23</v>
      </c>
      <c r="D26" s="2">
        <v>46143</v>
      </c>
      <c r="E26" s="1">
        <v>1.5</v>
      </c>
      <c r="F26" s="3">
        <v>1.2</v>
      </c>
      <c r="G26" s="9">
        <v>0.45833333333333331</v>
      </c>
      <c r="H26" s="1" t="s">
        <v>50</v>
      </c>
      <c r="I26" s="3">
        <v>7.4</v>
      </c>
      <c r="J26" s="3">
        <v>10.6</v>
      </c>
      <c r="K26" s="3">
        <v>8.9</v>
      </c>
      <c r="L26" s="3">
        <v>7.3</v>
      </c>
      <c r="M26" s="1">
        <f>AVERAGE(I26:L26)</f>
        <v>8.5499999999999989</v>
      </c>
      <c r="N26" s="1">
        <v>6.3</v>
      </c>
      <c r="O26" s="1">
        <f>N26/2</f>
        <v>3.15</v>
      </c>
      <c r="P26" s="1">
        <f>PI()*(O26^2)*M26</f>
        <v>266.52447404984235</v>
      </c>
      <c r="Q26" s="1">
        <f t="shared" si="3"/>
        <v>4.5024007805586725E-3</v>
      </c>
      <c r="R26" s="1">
        <f>1/Q26</f>
        <v>222.10372837486864</v>
      </c>
      <c r="S26" s="4">
        <f>R26/60</f>
        <v>3.7017288062478104</v>
      </c>
      <c r="T26" s="8" t="str">
        <f>C26</f>
        <v>26_fresh</v>
      </c>
      <c r="U26" s="1">
        <f t="shared" si="7"/>
        <v>7.1999999999999995E-2</v>
      </c>
    </row>
    <row r="27" spans="1:21" x14ac:dyDescent="0.2">
      <c r="A27" s="1">
        <v>2</v>
      </c>
      <c r="B27" s="1" t="s">
        <v>47</v>
      </c>
      <c r="C27" s="1" t="s">
        <v>24</v>
      </c>
      <c r="D27" s="2">
        <v>46143</v>
      </c>
      <c r="E27" s="1">
        <v>1.5</v>
      </c>
      <c r="F27" s="3">
        <v>2</v>
      </c>
      <c r="G27" s="9">
        <v>0.45833333333333331</v>
      </c>
      <c r="H27" s="1" t="s">
        <v>50</v>
      </c>
      <c r="I27" s="3">
        <v>9</v>
      </c>
      <c r="J27" s="3">
        <v>8.6</v>
      </c>
      <c r="K27" s="3">
        <v>9.6999999999999993</v>
      </c>
      <c r="L27" s="3">
        <v>9</v>
      </c>
      <c r="M27" s="1">
        <f t="shared" ref="M27:M49" si="8">AVERAGE(I27:L27)</f>
        <v>9.0749999999999993</v>
      </c>
      <c r="N27" s="1">
        <v>6.3</v>
      </c>
      <c r="O27" s="1">
        <f t="shared" ref="O27:O49" si="9">N27/2</f>
        <v>3.15</v>
      </c>
      <c r="P27" s="1">
        <f t="shared" ref="P27:P49" si="10">PI()*(O27^2)*M27</f>
        <v>282.8900119300958</v>
      </c>
      <c r="Q27" s="1">
        <f t="shared" si="3"/>
        <v>7.069885523191306E-3</v>
      </c>
      <c r="R27" s="1">
        <f t="shared" ref="R27:R49" si="11">1/Q27</f>
        <v>141.4450059650479</v>
      </c>
      <c r="S27" s="4">
        <f t="shared" ref="S27:S49" si="12">R27/60</f>
        <v>2.3574167660841314</v>
      </c>
      <c r="T27" s="8" t="str">
        <f t="shared" ref="T27:T49" si="13">C27</f>
        <v>20_fresh</v>
      </c>
      <c r="U27" s="1">
        <f t="shared" si="7"/>
        <v>0.12</v>
      </c>
    </row>
    <row r="28" spans="1:21" x14ac:dyDescent="0.2">
      <c r="A28" s="1">
        <v>3</v>
      </c>
      <c r="B28" s="1" t="s">
        <v>47</v>
      </c>
      <c r="C28" s="1" t="s">
        <v>25</v>
      </c>
      <c r="D28" s="2">
        <v>46143</v>
      </c>
      <c r="E28" s="1">
        <v>1.5</v>
      </c>
      <c r="F28" s="3">
        <v>2</v>
      </c>
      <c r="G28" s="9">
        <v>0.45833333333333331</v>
      </c>
      <c r="H28" s="1" t="s">
        <v>50</v>
      </c>
      <c r="I28" s="3">
        <v>11</v>
      </c>
      <c r="J28" s="3">
        <v>11</v>
      </c>
      <c r="K28" s="3">
        <v>11.3</v>
      </c>
      <c r="L28" s="3">
        <v>10.3</v>
      </c>
      <c r="M28" s="1">
        <f t="shared" si="8"/>
        <v>10.899999999999999</v>
      </c>
      <c r="N28" s="1">
        <v>6.3</v>
      </c>
      <c r="O28" s="1">
        <f t="shared" si="9"/>
        <v>3.15</v>
      </c>
      <c r="P28" s="1">
        <f t="shared" si="10"/>
        <v>339.77973884716744</v>
      </c>
      <c r="Q28" s="1">
        <f t="shared" si="3"/>
        <v>5.8861661580698246E-3</v>
      </c>
      <c r="R28" s="1">
        <f t="shared" si="11"/>
        <v>169.88986942358372</v>
      </c>
      <c r="S28" s="4">
        <f t="shared" si="12"/>
        <v>2.8314978237263952</v>
      </c>
      <c r="T28" s="8" t="str">
        <f t="shared" si="13"/>
        <v>08_fresh</v>
      </c>
      <c r="U28" s="1">
        <f t="shared" si="7"/>
        <v>0.12</v>
      </c>
    </row>
    <row r="29" spans="1:21" x14ac:dyDescent="0.2">
      <c r="A29" s="1">
        <v>4</v>
      </c>
      <c r="B29" s="1" t="s">
        <v>47</v>
      </c>
      <c r="C29" s="1" t="s">
        <v>26</v>
      </c>
      <c r="D29" s="2">
        <v>46143</v>
      </c>
      <c r="E29" s="1">
        <v>1.5</v>
      </c>
      <c r="F29" s="3">
        <v>1.3</v>
      </c>
      <c r="G29" s="9">
        <v>0.45833333333333331</v>
      </c>
      <c r="H29" s="1" t="s">
        <v>50</v>
      </c>
      <c r="I29" s="3">
        <v>10</v>
      </c>
      <c r="J29" s="3">
        <v>10.4</v>
      </c>
      <c r="K29" s="3">
        <v>9.6999999999999993</v>
      </c>
      <c r="L29" s="3">
        <v>9.4</v>
      </c>
      <c r="M29" s="1">
        <f t="shared" si="8"/>
        <v>9.875</v>
      </c>
      <c r="N29" s="1">
        <v>6.3</v>
      </c>
      <c r="O29" s="1">
        <f t="shared" si="9"/>
        <v>3.15</v>
      </c>
      <c r="P29" s="1">
        <f t="shared" si="10"/>
        <v>307.82797441429159</v>
      </c>
      <c r="Q29" s="1">
        <f t="shared" si="3"/>
        <v>4.2231379473341478E-3</v>
      </c>
      <c r="R29" s="1">
        <f t="shared" si="11"/>
        <v>236.79074954945509</v>
      </c>
      <c r="S29" s="4">
        <f t="shared" si="12"/>
        <v>3.9465124924909181</v>
      </c>
      <c r="T29" s="8" t="str">
        <f t="shared" si="13"/>
        <v>11_fresh</v>
      </c>
      <c r="U29" s="1">
        <f t="shared" si="7"/>
        <v>7.8000000000000014E-2</v>
      </c>
    </row>
    <row r="30" spans="1:21" x14ac:dyDescent="0.2">
      <c r="A30" s="1">
        <v>5</v>
      </c>
      <c r="B30" s="1" t="s">
        <v>47</v>
      </c>
      <c r="C30" s="1" t="s">
        <v>27</v>
      </c>
      <c r="D30" s="2">
        <v>46143</v>
      </c>
      <c r="E30" s="1">
        <v>1.5</v>
      </c>
      <c r="F30" s="3">
        <v>2</v>
      </c>
      <c r="G30" s="9">
        <v>0.45833333333333331</v>
      </c>
      <c r="H30" s="1" t="s">
        <v>50</v>
      </c>
      <c r="I30" s="3">
        <v>10.8</v>
      </c>
      <c r="J30" s="3">
        <v>10.199999999999999</v>
      </c>
      <c r="K30" s="3">
        <v>10.4</v>
      </c>
      <c r="L30" s="3">
        <v>11.6</v>
      </c>
      <c r="M30" s="1">
        <f t="shared" si="8"/>
        <v>10.75</v>
      </c>
      <c r="N30" s="1">
        <v>6.3</v>
      </c>
      <c r="O30" s="1">
        <f t="shared" si="9"/>
        <v>3.15</v>
      </c>
      <c r="P30" s="1">
        <f t="shared" si="10"/>
        <v>335.10387088138077</v>
      </c>
      <c r="Q30" s="1">
        <f t="shared" si="3"/>
        <v>5.9682987091126587E-3</v>
      </c>
      <c r="R30" s="1">
        <f t="shared" si="11"/>
        <v>167.55193544069039</v>
      </c>
      <c r="S30" s="4">
        <f t="shared" si="12"/>
        <v>2.7925322573448397</v>
      </c>
      <c r="T30" s="8" t="str">
        <f t="shared" si="13"/>
        <v>02_fresh</v>
      </c>
      <c r="U30" s="1">
        <f t="shared" si="7"/>
        <v>0.12</v>
      </c>
    </row>
    <row r="31" spans="1:21" x14ac:dyDescent="0.2">
      <c r="A31" s="1">
        <v>6</v>
      </c>
      <c r="B31" s="1" t="s">
        <v>47</v>
      </c>
      <c r="C31" s="1" t="s">
        <v>28</v>
      </c>
      <c r="D31" s="2">
        <v>46143</v>
      </c>
      <c r="E31" s="1">
        <v>1.5</v>
      </c>
      <c r="F31" s="3">
        <v>1.5</v>
      </c>
      <c r="G31" s="9">
        <v>0.45833333333333331</v>
      </c>
      <c r="H31" s="1" t="s">
        <v>50</v>
      </c>
      <c r="I31" s="3">
        <v>9.5</v>
      </c>
      <c r="J31" s="3">
        <v>9</v>
      </c>
      <c r="K31" s="3">
        <v>9.4</v>
      </c>
      <c r="L31" s="3">
        <v>9</v>
      </c>
      <c r="M31" s="1">
        <f t="shared" si="8"/>
        <v>9.2249999999999996</v>
      </c>
      <c r="N31" s="1">
        <v>6.3</v>
      </c>
      <c r="O31" s="1">
        <f t="shared" si="9"/>
        <v>3.15</v>
      </c>
      <c r="P31" s="1">
        <f t="shared" si="10"/>
        <v>287.56587989588252</v>
      </c>
      <c r="Q31" s="1">
        <f t="shared" si="3"/>
        <v>5.2161960262569994E-3</v>
      </c>
      <c r="R31" s="1">
        <f t="shared" si="11"/>
        <v>191.71058659725503</v>
      </c>
      <c r="S31" s="4">
        <f t="shared" si="12"/>
        <v>3.195176443287584</v>
      </c>
      <c r="T31" s="8" t="str">
        <f t="shared" si="13"/>
        <v>29_fresh</v>
      </c>
      <c r="U31" s="1">
        <f t="shared" si="7"/>
        <v>0.09</v>
      </c>
    </row>
    <row r="32" spans="1:21" x14ac:dyDescent="0.2">
      <c r="A32" s="1">
        <v>7</v>
      </c>
      <c r="B32" s="1" t="s">
        <v>47</v>
      </c>
      <c r="C32" s="1" t="s">
        <v>29</v>
      </c>
      <c r="D32" s="2">
        <v>46143</v>
      </c>
      <c r="E32" s="1">
        <v>1.5</v>
      </c>
      <c r="F32" s="3">
        <v>1.2</v>
      </c>
      <c r="G32" s="9">
        <v>0.45833333333333331</v>
      </c>
      <c r="H32" s="1" t="s">
        <v>50</v>
      </c>
      <c r="I32" s="3">
        <v>10.1</v>
      </c>
      <c r="J32" s="3">
        <v>9.8000000000000007</v>
      </c>
      <c r="K32" s="3">
        <v>10.7</v>
      </c>
      <c r="L32" s="3">
        <v>10.5</v>
      </c>
      <c r="M32" s="1">
        <f t="shared" si="8"/>
        <v>10.274999999999999</v>
      </c>
      <c r="N32" s="1">
        <v>6.3</v>
      </c>
      <c r="O32" s="1">
        <f t="shared" si="9"/>
        <v>3.15</v>
      </c>
      <c r="P32" s="1">
        <f t="shared" si="10"/>
        <v>320.29695565638946</v>
      </c>
      <c r="Q32" s="1">
        <f t="shared" si="3"/>
        <v>3.7465232772532025E-3</v>
      </c>
      <c r="R32" s="1">
        <f t="shared" si="11"/>
        <v>266.91412971365793</v>
      </c>
      <c r="S32" s="4">
        <f t="shared" si="12"/>
        <v>4.4485688285609655</v>
      </c>
      <c r="T32" s="8" t="str">
        <f t="shared" si="13"/>
        <v>05_fresh</v>
      </c>
      <c r="U32" s="1">
        <f t="shared" si="7"/>
        <v>7.1999999999999995E-2</v>
      </c>
    </row>
    <row r="33" spans="1:21" x14ac:dyDescent="0.2">
      <c r="A33" s="1">
        <v>8</v>
      </c>
      <c r="B33" s="1" t="s">
        <v>47</v>
      </c>
      <c r="C33" s="1" t="s">
        <v>30</v>
      </c>
      <c r="D33" s="2">
        <v>46143</v>
      </c>
      <c r="E33" s="1">
        <v>1.5</v>
      </c>
      <c r="F33" s="3">
        <v>2.4</v>
      </c>
      <c r="G33" s="9">
        <v>0.45833333333333331</v>
      </c>
      <c r="H33" s="1" t="s">
        <v>50</v>
      </c>
      <c r="I33" s="3">
        <v>10.199999999999999</v>
      </c>
      <c r="J33" s="3">
        <v>10.9</v>
      </c>
      <c r="K33" s="3">
        <v>10.1</v>
      </c>
      <c r="L33" s="3">
        <v>10.3</v>
      </c>
      <c r="M33" s="1">
        <f t="shared" si="8"/>
        <v>10.375</v>
      </c>
      <c r="N33" s="1">
        <v>6.3</v>
      </c>
      <c r="O33" s="1">
        <f t="shared" si="9"/>
        <v>3.15</v>
      </c>
      <c r="P33" s="1">
        <f t="shared" si="10"/>
        <v>323.414200966914</v>
      </c>
      <c r="Q33" s="1">
        <f t="shared" si="3"/>
        <v>7.4208244190412821E-3</v>
      </c>
      <c r="R33" s="1">
        <f t="shared" si="11"/>
        <v>134.75591706954751</v>
      </c>
      <c r="S33" s="4">
        <f t="shared" si="12"/>
        <v>2.2459319511591249</v>
      </c>
      <c r="T33" s="8" t="str">
        <f t="shared" si="13"/>
        <v>17_fresh</v>
      </c>
      <c r="U33" s="1">
        <f t="shared" si="7"/>
        <v>0.14399999999999999</v>
      </c>
    </row>
    <row r="34" spans="1:21" x14ac:dyDescent="0.2">
      <c r="A34" s="1">
        <v>9</v>
      </c>
      <c r="B34" s="1" t="s">
        <v>47</v>
      </c>
      <c r="C34" s="1" t="s">
        <v>31</v>
      </c>
      <c r="D34" s="2">
        <v>46143</v>
      </c>
      <c r="E34" s="1">
        <v>1.5</v>
      </c>
      <c r="F34" s="3">
        <v>0.8</v>
      </c>
      <c r="G34" s="9">
        <v>0.45833333333333331</v>
      </c>
      <c r="H34" s="1" t="s">
        <v>50</v>
      </c>
      <c r="I34" s="3">
        <v>9.8000000000000007</v>
      </c>
      <c r="J34" s="3">
        <v>9.6</v>
      </c>
      <c r="K34" s="3">
        <v>9.6</v>
      </c>
      <c r="L34" s="3">
        <v>9.6999999999999993</v>
      </c>
      <c r="M34" s="1">
        <f t="shared" si="8"/>
        <v>9.6750000000000007</v>
      </c>
      <c r="N34" s="1">
        <v>6.3</v>
      </c>
      <c r="O34" s="1">
        <f t="shared" si="9"/>
        <v>3.15</v>
      </c>
      <c r="P34" s="1">
        <f t="shared" si="10"/>
        <v>301.59348379324268</v>
      </c>
      <c r="Q34" s="1">
        <f t="shared" si="3"/>
        <v>2.6525772040500708E-3</v>
      </c>
      <c r="R34" s="1">
        <f t="shared" si="11"/>
        <v>376.99185474155337</v>
      </c>
      <c r="S34" s="4">
        <f t="shared" si="12"/>
        <v>6.2831975790258898</v>
      </c>
      <c r="T34" s="8" t="str">
        <f t="shared" si="13"/>
        <v>23_fresh</v>
      </c>
      <c r="U34" s="1">
        <f t="shared" si="7"/>
        <v>4.8000000000000001E-2</v>
      </c>
    </row>
    <row r="35" spans="1:21" x14ac:dyDescent="0.2">
      <c r="A35" s="1">
        <v>10</v>
      </c>
      <c r="B35" s="1" t="s">
        <v>47</v>
      </c>
      <c r="C35" s="1" t="s">
        <v>32</v>
      </c>
      <c r="D35" s="2">
        <v>46143</v>
      </c>
      <c r="E35" s="1">
        <v>1.5</v>
      </c>
      <c r="F35" s="3">
        <v>1.8</v>
      </c>
      <c r="G35" s="9">
        <v>0.45833333333333331</v>
      </c>
      <c r="H35" s="1" t="s">
        <v>50</v>
      </c>
      <c r="I35" s="3">
        <v>12.1</v>
      </c>
      <c r="J35" s="3">
        <v>12.3</v>
      </c>
      <c r="K35" s="3">
        <v>12.9</v>
      </c>
      <c r="L35" s="3">
        <v>13.2</v>
      </c>
      <c r="M35" s="1">
        <f t="shared" si="8"/>
        <v>12.625</v>
      </c>
      <c r="N35" s="1">
        <v>6.3</v>
      </c>
      <c r="O35" s="1">
        <f t="shared" si="9"/>
        <v>3.15</v>
      </c>
      <c r="P35" s="1">
        <f t="shared" si="10"/>
        <v>393.5522204537146</v>
      </c>
      <c r="Q35" s="1">
        <f t="shared" si="3"/>
        <v>4.5737259414388104E-3</v>
      </c>
      <c r="R35" s="1">
        <f t="shared" si="11"/>
        <v>218.64012247428587</v>
      </c>
      <c r="S35" s="4">
        <f t="shared" si="12"/>
        <v>3.6440020412380978</v>
      </c>
      <c r="T35" s="8" t="str">
        <f t="shared" si="13"/>
        <v>14_fresh</v>
      </c>
      <c r="U35" s="1">
        <f t="shared" si="7"/>
        <v>0.10800000000000001</v>
      </c>
    </row>
    <row r="36" spans="1:21" x14ac:dyDescent="0.2">
      <c r="A36" s="1">
        <v>11</v>
      </c>
      <c r="B36" s="1" t="s">
        <v>47</v>
      </c>
      <c r="C36" s="1" t="s">
        <v>33</v>
      </c>
      <c r="D36" s="2">
        <v>46143</v>
      </c>
      <c r="E36" s="1">
        <v>1.5</v>
      </c>
      <c r="F36" s="3">
        <v>1</v>
      </c>
      <c r="G36" s="9">
        <v>0.45833333333333331</v>
      </c>
      <c r="H36" s="1" t="s">
        <v>50</v>
      </c>
      <c r="I36" s="3">
        <v>8.3000000000000007</v>
      </c>
      <c r="J36" s="3">
        <v>7</v>
      </c>
      <c r="K36" s="3">
        <v>7.9</v>
      </c>
      <c r="L36" s="3">
        <v>8.3000000000000007</v>
      </c>
      <c r="M36" s="1">
        <f t="shared" si="8"/>
        <v>7.8750000000000009</v>
      </c>
      <c r="N36" s="1">
        <v>6.3</v>
      </c>
      <c r="O36" s="1">
        <f t="shared" si="9"/>
        <v>3.15</v>
      </c>
      <c r="P36" s="1">
        <f t="shared" si="10"/>
        <v>245.48306820380219</v>
      </c>
      <c r="Q36" s="1">
        <f t="shared" si="3"/>
        <v>4.0736007062197512E-3</v>
      </c>
      <c r="R36" s="1">
        <f t="shared" si="11"/>
        <v>245.48306820380219</v>
      </c>
      <c r="S36" s="4">
        <f t="shared" si="12"/>
        <v>4.0913844700633701</v>
      </c>
      <c r="T36" s="8" t="str">
        <f t="shared" si="13"/>
        <v>32_fresh</v>
      </c>
      <c r="U36" s="1">
        <f t="shared" si="7"/>
        <v>0.06</v>
      </c>
    </row>
    <row r="37" spans="1:21" x14ac:dyDescent="0.2">
      <c r="A37" s="1">
        <v>12</v>
      </c>
      <c r="B37" s="1" t="s">
        <v>47</v>
      </c>
      <c r="C37" s="1" t="s">
        <v>34</v>
      </c>
      <c r="D37" s="2">
        <v>46143</v>
      </c>
      <c r="E37" s="1">
        <v>1.5</v>
      </c>
      <c r="F37" s="3">
        <v>0.8</v>
      </c>
      <c r="G37" s="9">
        <v>0.45833333333333331</v>
      </c>
      <c r="H37" s="1" t="s">
        <v>50</v>
      </c>
      <c r="I37" s="1" t="s">
        <v>5</v>
      </c>
      <c r="J37" s="1" t="s">
        <v>5</v>
      </c>
      <c r="K37" s="1" t="s">
        <v>5</v>
      </c>
      <c r="L37" s="1" t="s">
        <v>5</v>
      </c>
      <c r="M37" s="1" t="s">
        <v>5</v>
      </c>
      <c r="N37" s="1" t="s">
        <v>5</v>
      </c>
      <c r="O37" s="1" t="s">
        <v>5</v>
      </c>
      <c r="P37" s="1" t="s">
        <v>5</v>
      </c>
      <c r="Q37" s="1" t="s">
        <v>5</v>
      </c>
      <c r="R37" s="1" t="s">
        <v>5</v>
      </c>
      <c r="S37" s="1" t="s">
        <v>5</v>
      </c>
      <c r="T37" s="8" t="str">
        <f t="shared" si="13"/>
        <v>BP_fresh</v>
      </c>
      <c r="U37" s="1">
        <f t="shared" si="7"/>
        <v>4.8000000000000001E-2</v>
      </c>
    </row>
    <row r="38" spans="1:21" x14ac:dyDescent="0.2">
      <c r="A38" s="1">
        <v>13</v>
      </c>
      <c r="B38" s="1" t="s">
        <v>48</v>
      </c>
      <c r="C38" s="1" t="s">
        <v>35</v>
      </c>
      <c r="D38" s="2">
        <v>46143</v>
      </c>
      <c r="E38" s="1">
        <v>1.5</v>
      </c>
      <c r="F38" s="3">
        <v>1.2</v>
      </c>
      <c r="G38" s="9">
        <v>0.45833333333333331</v>
      </c>
      <c r="H38" s="1" t="s">
        <v>50</v>
      </c>
      <c r="I38" s="1" t="s">
        <v>5</v>
      </c>
      <c r="J38" s="1" t="s">
        <v>5</v>
      </c>
      <c r="K38" s="1" t="s">
        <v>5</v>
      </c>
      <c r="L38" s="1" t="s">
        <v>5</v>
      </c>
      <c r="M38" s="1" t="s">
        <v>5</v>
      </c>
      <c r="N38" s="1" t="s">
        <v>5</v>
      </c>
      <c r="O38" s="1" t="s">
        <v>5</v>
      </c>
      <c r="P38" s="1" t="s">
        <v>5</v>
      </c>
      <c r="Q38" s="1" t="s">
        <v>5</v>
      </c>
      <c r="R38" s="1" t="s">
        <v>5</v>
      </c>
      <c r="S38" s="1" t="s">
        <v>5</v>
      </c>
      <c r="T38" s="8" t="str">
        <f t="shared" si="13"/>
        <v>BP_salt</v>
      </c>
      <c r="U38" s="1">
        <f t="shared" si="7"/>
        <v>7.1999999999999995E-2</v>
      </c>
    </row>
    <row r="39" spans="1:21" x14ac:dyDescent="0.2">
      <c r="A39" s="1">
        <v>14</v>
      </c>
      <c r="B39" s="1" t="s">
        <v>48</v>
      </c>
      <c r="C39" s="1" t="s">
        <v>36</v>
      </c>
      <c r="D39" s="2">
        <v>46143</v>
      </c>
      <c r="E39" s="1">
        <v>1.5</v>
      </c>
      <c r="F39" s="3">
        <v>0.8</v>
      </c>
      <c r="G39" s="9">
        <v>0.45833333333333331</v>
      </c>
      <c r="H39" s="1" t="s">
        <v>50</v>
      </c>
      <c r="I39" s="3">
        <v>9.1</v>
      </c>
      <c r="J39" s="3">
        <v>9.6</v>
      </c>
      <c r="K39" s="3">
        <v>9.3000000000000007</v>
      </c>
      <c r="L39" s="3">
        <v>8.6999999999999993</v>
      </c>
      <c r="M39" s="1">
        <f t="shared" si="8"/>
        <v>9.1750000000000007</v>
      </c>
      <c r="N39" s="1">
        <v>6.3</v>
      </c>
      <c r="O39" s="1">
        <f t="shared" si="9"/>
        <v>3.15</v>
      </c>
      <c r="P39" s="1">
        <f t="shared" si="10"/>
        <v>286.00725724062033</v>
      </c>
      <c r="Q39" s="1">
        <f t="shared" si="3"/>
        <v>2.7971318200745976E-3</v>
      </c>
      <c r="R39" s="1">
        <f t="shared" si="11"/>
        <v>357.50907155077539</v>
      </c>
      <c r="S39" s="4">
        <f t="shared" si="12"/>
        <v>5.9584845258462567</v>
      </c>
      <c r="T39" s="8" t="str">
        <f t="shared" si="13"/>
        <v>09_salt</v>
      </c>
      <c r="U39" s="1">
        <f t="shared" si="7"/>
        <v>4.8000000000000001E-2</v>
      </c>
    </row>
    <row r="40" spans="1:21" x14ac:dyDescent="0.2">
      <c r="A40" s="1">
        <v>15</v>
      </c>
      <c r="B40" s="1" t="s">
        <v>48</v>
      </c>
      <c r="C40" s="1" t="s">
        <v>37</v>
      </c>
      <c r="D40" s="2">
        <v>46143</v>
      </c>
      <c r="E40" s="1">
        <v>1.5</v>
      </c>
      <c r="F40" s="3">
        <v>0.8</v>
      </c>
      <c r="G40" s="9">
        <v>0.45833333333333331</v>
      </c>
      <c r="H40" s="1" t="s">
        <v>50</v>
      </c>
      <c r="I40" s="3">
        <v>10.8</v>
      </c>
      <c r="J40" s="3">
        <v>10.7</v>
      </c>
      <c r="K40" s="3">
        <v>10.3</v>
      </c>
      <c r="L40" s="3">
        <v>10.9</v>
      </c>
      <c r="M40" s="1">
        <f t="shared" si="8"/>
        <v>10.675000000000001</v>
      </c>
      <c r="N40" s="1">
        <v>6.3</v>
      </c>
      <c r="O40" s="1">
        <f t="shared" si="9"/>
        <v>3.15</v>
      </c>
      <c r="P40" s="1">
        <f t="shared" si="10"/>
        <v>332.76593689848744</v>
      </c>
      <c r="Q40" s="1">
        <f t="shared" si="3"/>
        <v>2.4040922200641154E-3</v>
      </c>
      <c r="R40" s="1">
        <f t="shared" si="11"/>
        <v>415.95742112310927</v>
      </c>
      <c r="S40" s="4">
        <f t="shared" si="12"/>
        <v>6.9326236853851544</v>
      </c>
      <c r="T40" s="8" t="str">
        <f t="shared" si="13"/>
        <v>30_salt</v>
      </c>
      <c r="U40" s="1">
        <f t="shared" si="7"/>
        <v>4.8000000000000001E-2</v>
      </c>
    </row>
    <row r="41" spans="1:21" x14ac:dyDescent="0.2">
      <c r="A41" s="1">
        <v>16</v>
      </c>
      <c r="B41" s="1" t="s">
        <v>48</v>
      </c>
      <c r="C41" s="1" t="s">
        <v>38</v>
      </c>
      <c r="D41" s="2">
        <v>46143</v>
      </c>
      <c r="E41" s="1">
        <v>1.5</v>
      </c>
      <c r="F41" s="3">
        <v>2.2000000000000002</v>
      </c>
      <c r="G41" s="9">
        <v>0.45833333333333331</v>
      </c>
      <c r="H41" s="1" t="s">
        <v>50</v>
      </c>
      <c r="I41" s="3">
        <v>11</v>
      </c>
      <c r="J41" s="3">
        <v>10.8</v>
      </c>
      <c r="K41" s="3">
        <v>10.6</v>
      </c>
      <c r="L41" s="3">
        <v>11.2</v>
      </c>
      <c r="M41" s="1">
        <f t="shared" si="8"/>
        <v>10.899999999999999</v>
      </c>
      <c r="N41" s="1">
        <v>6.3</v>
      </c>
      <c r="O41" s="1">
        <f t="shared" si="9"/>
        <v>3.15</v>
      </c>
      <c r="P41" s="1">
        <f t="shared" si="10"/>
        <v>339.77973884716744</v>
      </c>
      <c r="Q41" s="1">
        <f t="shared" si="3"/>
        <v>6.4747827738768082E-3</v>
      </c>
      <c r="R41" s="1">
        <f t="shared" si="11"/>
        <v>154.44533583962155</v>
      </c>
      <c r="S41" s="4">
        <f t="shared" si="12"/>
        <v>2.5740889306603592</v>
      </c>
      <c r="T41" s="8" t="str">
        <f t="shared" si="13"/>
        <v>15_salt</v>
      </c>
      <c r="U41" s="1">
        <f t="shared" si="7"/>
        <v>0.13200000000000001</v>
      </c>
    </row>
    <row r="42" spans="1:21" x14ac:dyDescent="0.2">
      <c r="A42" s="1">
        <v>17</v>
      </c>
      <c r="B42" s="1" t="s">
        <v>48</v>
      </c>
      <c r="C42" s="1" t="s">
        <v>39</v>
      </c>
      <c r="D42" s="2">
        <v>46143</v>
      </c>
      <c r="E42" s="1">
        <v>1.5</v>
      </c>
      <c r="F42" s="3">
        <v>0.7</v>
      </c>
      <c r="G42" s="9">
        <v>0.45833333333333331</v>
      </c>
      <c r="H42" s="1" t="s">
        <v>50</v>
      </c>
      <c r="I42" s="3">
        <v>10.9</v>
      </c>
      <c r="J42" s="3">
        <v>10.199999999999999</v>
      </c>
      <c r="K42" s="3">
        <v>9.6999999999999993</v>
      </c>
      <c r="L42" s="3">
        <v>10.6</v>
      </c>
      <c r="M42" s="1">
        <f t="shared" si="8"/>
        <v>10.35</v>
      </c>
      <c r="N42" s="1">
        <v>6.3</v>
      </c>
      <c r="O42" s="1">
        <f t="shared" si="9"/>
        <v>3.15</v>
      </c>
      <c r="P42" s="1">
        <f t="shared" si="10"/>
        <v>322.63488963928285</v>
      </c>
      <c r="Q42" s="1">
        <f t="shared" si="3"/>
        <v>2.1696351587474762E-3</v>
      </c>
      <c r="R42" s="1">
        <f t="shared" si="11"/>
        <v>460.90698519897558</v>
      </c>
      <c r="S42" s="4">
        <f t="shared" si="12"/>
        <v>7.6817830866495926</v>
      </c>
      <c r="T42" s="8" t="str">
        <f t="shared" si="13"/>
        <v>27_salt</v>
      </c>
      <c r="U42" s="1">
        <f t="shared" si="7"/>
        <v>4.2000000000000003E-2</v>
      </c>
    </row>
    <row r="43" spans="1:21" x14ac:dyDescent="0.2">
      <c r="A43" s="1">
        <v>18</v>
      </c>
      <c r="B43" s="1" t="s">
        <v>48</v>
      </c>
      <c r="C43" s="1" t="s">
        <v>40</v>
      </c>
      <c r="D43" s="2">
        <v>46143</v>
      </c>
      <c r="E43" s="1">
        <v>1.5</v>
      </c>
      <c r="F43" s="3">
        <v>1.8</v>
      </c>
      <c r="G43" s="9">
        <v>0.45833333333333331</v>
      </c>
      <c r="H43" s="1" t="s">
        <v>50</v>
      </c>
      <c r="I43" s="3">
        <v>9.5</v>
      </c>
      <c r="J43" s="3">
        <v>9.5</v>
      </c>
      <c r="K43" s="3">
        <v>9.1999999999999993</v>
      </c>
      <c r="L43" s="3">
        <v>9.1999999999999993</v>
      </c>
      <c r="M43" s="1">
        <f t="shared" si="8"/>
        <v>9.35</v>
      </c>
      <c r="N43" s="1">
        <v>6.3</v>
      </c>
      <c r="O43" s="1">
        <f t="shared" si="9"/>
        <v>3.15</v>
      </c>
      <c r="P43" s="1">
        <f t="shared" si="10"/>
        <v>291.46243653403815</v>
      </c>
      <c r="Q43" s="1">
        <f t="shared" si="3"/>
        <v>6.1757529423171103E-3</v>
      </c>
      <c r="R43" s="1">
        <f t="shared" si="11"/>
        <v>161.9235758522434</v>
      </c>
      <c r="S43" s="4">
        <f t="shared" si="12"/>
        <v>2.6987262642040566</v>
      </c>
      <c r="T43" s="8" t="str">
        <f t="shared" si="13"/>
        <v>33_salt</v>
      </c>
      <c r="U43" s="1">
        <f t="shared" si="7"/>
        <v>0.10800000000000001</v>
      </c>
    </row>
    <row r="44" spans="1:21" x14ac:dyDescent="0.2">
      <c r="A44" s="1">
        <v>19</v>
      </c>
      <c r="B44" s="1" t="s">
        <v>48</v>
      </c>
      <c r="C44" s="1" t="s">
        <v>41</v>
      </c>
      <c r="D44" s="2">
        <v>46143</v>
      </c>
      <c r="E44" s="1">
        <v>1.5</v>
      </c>
      <c r="F44" s="3">
        <v>0.8</v>
      </c>
      <c r="G44" s="9">
        <v>0.45833333333333331</v>
      </c>
      <c r="H44" s="1" t="s">
        <v>50</v>
      </c>
      <c r="I44" s="3">
        <v>10.9</v>
      </c>
      <c r="J44" s="3">
        <v>10.5</v>
      </c>
      <c r="K44" s="3">
        <v>11.2</v>
      </c>
      <c r="L44" s="3">
        <v>11.1</v>
      </c>
      <c r="M44" s="1">
        <f t="shared" si="8"/>
        <v>10.924999999999999</v>
      </c>
      <c r="N44" s="1">
        <v>6.3</v>
      </c>
      <c r="O44" s="1">
        <f t="shared" si="9"/>
        <v>3.15</v>
      </c>
      <c r="P44" s="1">
        <f t="shared" si="10"/>
        <v>340.55905017479853</v>
      </c>
      <c r="Q44" s="1">
        <f t="shared" si="3"/>
        <v>2.3490786681175688E-3</v>
      </c>
      <c r="R44" s="1">
        <f t="shared" si="11"/>
        <v>425.69881271849817</v>
      </c>
      <c r="S44" s="4">
        <f t="shared" si="12"/>
        <v>7.0949802119749696</v>
      </c>
      <c r="T44" s="8" t="str">
        <f t="shared" si="13"/>
        <v>06_salt</v>
      </c>
      <c r="U44" s="1">
        <f t="shared" si="7"/>
        <v>4.8000000000000001E-2</v>
      </c>
    </row>
    <row r="45" spans="1:21" x14ac:dyDescent="0.2">
      <c r="A45" s="1">
        <v>20</v>
      </c>
      <c r="B45" s="1" t="s">
        <v>48</v>
      </c>
      <c r="C45" s="1" t="s">
        <v>42</v>
      </c>
      <c r="D45" s="2">
        <v>46143</v>
      </c>
      <c r="E45" s="1">
        <v>1.5</v>
      </c>
      <c r="F45" s="3">
        <v>1.2</v>
      </c>
      <c r="G45" s="9">
        <v>0.45833333333333331</v>
      </c>
      <c r="H45" s="1" t="s">
        <v>50</v>
      </c>
      <c r="I45" s="3">
        <v>11</v>
      </c>
      <c r="J45" s="3">
        <v>11.6</v>
      </c>
      <c r="K45" s="3">
        <v>11.3</v>
      </c>
      <c r="L45" s="3">
        <v>10.9</v>
      </c>
      <c r="M45" s="1">
        <f t="shared" si="8"/>
        <v>11.200000000000001</v>
      </c>
      <c r="N45" s="1">
        <v>6.3</v>
      </c>
      <c r="O45" s="1">
        <f t="shared" si="9"/>
        <v>3.15</v>
      </c>
      <c r="P45" s="1">
        <f t="shared" si="10"/>
        <v>349.13147477874088</v>
      </c>
      <c r="Q45" s="1">
        <f t="shared" si="3"/>
        <v>3.437100595872915E-3</v>
      </c>
      <c r="R45" s="1">
        <f t="shared" si="11"/>
        <v>290.94289564895075</v>
      </c>
      <c r="S45" s="4">
        <f t="shared" si="12"/>
        <v>4.8490482608158461</v>
      </c>
      <c r="T45" s="8" t="str">
        <f t="shared" si="13"/>
        <v>03_salt</v>
      </c>
      <c r="U45" s="1">
        <f t="shared" si="7"/>
        <v>7.1999999999999995E-2</v>
      </c>
    </row>
    <row r="46" spans="1:21" x14ac:dyDescent="0.2">
      <c r="A46" s="1">
        <v>21</v>
      </c>
      <c r="B46" s="1" t="s">
        <v>48</v>
      </c>
      <c r="C46" s="1" t="s">
        <v>43</v>
      </c>
      <c r="D46" s="2">
        <v>46143</v>
      </c>
      <c r="E46" s="1">
        <v>1.5</v>
      </c>
      <c r="F46" s="3">
        <v>1.1000000000000001</v>
      </c>
      <c r="G46" s="9">
        <v>0.45833333333333331</v>
      </c>
      <c r="H46" s="1" t="s">
        <v>50</v>
      </c>
      <c r="I46" s="3">
        <v>10.3</v>
      </c>
      <c r="J46" s="3">
        <v>10.199999999999999</v>
      </c>
      <c r="K46" s="3">
        <v>11.5</v>
      </c>
      <c r="L46" s="3">
        <v>11.5</v>
      </c>
      <c r="M46" s="1">
        <f t="shared" si="8"/>
        <v>10.875</v>
      </c>
      <c r="N46" s="1">
        <v>6.3</v>
      </c>
      <c r="O46" s="1">
        <f t="shared" si="9"/>
        <v>3.15</v>
      </c>
      <c r="P46" s="1">
        <f t="shared" si="10"/>
        <v>339.00042751953634</v>
      </c>
      <c r="Q46" s="1">
        <f t="shared" si="3"/>
        <v>3.2448336659888369E-3</v>
      </c>
      <c r="R46" s="1">
        <f t="shared" si="11"/>
        <v>308.18220683594211</v>
      </c>
      <c r="S46" s="4">
        <f t="shared" si="12"/>
        <v>5.1363701139323688</v>
      </c>
      <c r="T46" s="8" t="str">
        <f t="shared" si="13"/>
        <v>12_salt</v>
      </c>
      <c r="U46" s="1">
        <f t="shared" si="7"/>
        <v>6.6000000000000003E-2</v>
      </c>
    </row>
    <row r="47" spans="1:21" x14ac:dyDescent="0.2">
      <c r="A47" s="1">
        <v>22</v>
      </c>
      <c r="B47" s="1" t="s">
        <v>48</v>
      </c>
      <c r="C47" s="1" t="s">
        <v>44</v>
      </c>
      <c r="D47" s="2">
        <v>46143</v>
      </c>
      <c r="E47" s="1">
        <v>1.5</v>
      </c>
      <c r="F47" s="3">
        <v>1.4</v>
      </c>
      <c r="G47" s="9">
        <v>0.45833333333333331</v>
      </c>
      <c r="H47" s="1" t="s">
        <v>50</v>
      </c>
      <c r="I47" s="3">
        <v>12.8</v>
      </c>
      <c r="J47" s="3">
        <v>12.2</v>
      </c>
      <c r="K47" s="3">
        <v>12.6</v>
      </c>
      <c r="L47" s="3">
        <v>12.1</v>
      </c>
      <c r="M47" s="1">
        <f t="shared" si="8"/>
        <v>12.425000000000001</v>
      </c>
      <c r="N47" s="1">
        <v>6.3</v>
      </c>
      <c r="O47" s="1">
        <f t="shared" si="9"/>
        <v>3.15</v>
      </c>
      <c r="P47" s="1">
        <f t="shared" si="10"/>
        <v>387.31772983266569</v>
      </c>
      <c r="Q47" s="1">
        <f t="shared" si="3"/>
        <v>3.6146034435471032E-3</v>
      </c>
      <c r="R47" s="1">
        <f t="shared" si="11"/>
        <v>276.65552130904695</v>
      </c>
      <c r="S47" s="4">
        <f t="shared" si="12"/>
        <v>4.6109253551507825</v>
      </c>
      <c r="T47" s="8" t="str">
        <f t="shared" si="13"/>
        <v>18_salt</v>
      </c>
      <c r="U47" s="1">
        <f t="shared" si="7"/>
        <v>8.4000000000000005E-2</v>
      </c>
    </row>
    <row r="48" spans="1:21" x14ac:dyDescent="0.2">
      <c r="A48" s="1">
        <v>23</v>
      </c>
      <c r="B48" s="1" t="s">
        <v>48</v>
      </c>
      <c r="C48" s="1" t="s">
        <v>45</v>
      </c>
      <c r="D48" s="2">
        <v>46143</v>
      </c>
      <c r="E48" s="1">
        <v>1.5</v>
      </c>
      <c r="F48" s="3">
        <v>1.5</v>
      </c>
      <c r="G48" s="9">
        <v>0.45833333333333331</v>
      </c>
      <c r="H48" s="1" t="s">
        <v>50</v>
      </c>
      <c r="I48" s="3">
        <v>8.9</v>
      </c>
      <c r="J48" s="3">
        <v>8.6</v>
      </c>
      <c r="K48" s="3">
        <v>9.6</v>
      </c>
      <c r="L48" s="3">
        <v>8.5</v>
      </c>
      <c r="M48" s="1">
        <f t="shared" si="8"/>
        <v>8.9</v>
      </c>
      <c r="N48" s="1">
        <v>6.3</v>
      </c>
      <c r="O48" s="1">
        <f t="shared" si="9"/>
        <v>3.15</v>
      </c>
      <c r="P48" s="1">
        <f t="shared" si="10"/>
        <v>277.43483263667804</v>
      </c>
      <c r="Q48" s="1">
        <f t="shared" si="3"/>
        <v>5.4066750946315523E-3</v>
      </c>
      <c r="R48" s="1">
        <f t="shared" si="11"/>
        <v>184.95655509111867</v>
      </c>
      <c r="S48" s="4">
        <f t="shared" si="12"/>
        <v>3.0826092515186447</v>
      </c>
      <c r="T48" s="8" t="str">
        <f t="shared" si="13"/>
        <v>24_salt</v>
      </c>
      <c r="U48" s="1">
        <f t="shared" si="7"/>
        <v>0.09</v>
      </c>
    </row>
    <row r="49" spans="1:21" x14ac:dyDescent="0.2">
      <c r="A49" s="1">
        <v>24</v>
      </c>
      <c r="B49" s="1" t="s">
        <v>48</v>
      </c>
      <c r="C49" s="1" t="s">
        <v>46</v>
      </c>
      <c r="D49" s="2">
        <v>46143</v>
      </c>
      <c r="E49" s="1">
        <v>1.5</v>
      </c>
      <c r="F49" s="3">
        <v>0.9</v>
      </c>
      <c r="G49" s="9">
        <v>0.45833333333333331</v>
      </c>
      <c r="H49" s="1" t="s">
        <v>50</v>
      </c>
      <c r="I49" s="3">
        <v>9.6</v>
      </c>
      <c r="J49" s="3">
        <v>9.8000000000000007</v>
      </c>
      <c r="K49" s="3">
        <v>9.5</v>
      </c>
      <c r="L49" s="3">
        <v>9.8000000000000007</v>
      </c>
      <c r="M49" s="1">
        <f t="shared" si="8"/>
        <v>9.6750000000000007</v>
      </c>
      <c r="N49" s="1">
        <v>6.3</v>
      </c>
      <c r="O49" s="1">
        <f t="shared" si="9"/>
        <v>3.15</v>
      </c>
      <c r="P49" s="1">
        <f t="shared" si="10"/>
        <v>301.59348379324268</v>
      </c>
      <c r="Q49" s="1">
        <f t="shared" si="3"/>
        <v>2.9841493545563298E-3</v>
      </c>
      <c r="R49" s="1">
        <f t="shared" si="11"/>
        <v>335.10387088138071</v>
      </c>
      <c r="S49" s="4">
        <f t="shared" si="12"/>
        <v>5.5850645146896785</v>
      </c>
      <c r="T49" s="8" t="str">
        <f t="shared" si="13"/>
        <v>21_salt</v>
      </c>
      <c r="U49" s="1">
        <f t="shared" si="7"/>
        <v>5.4000000000000006E-2</v>
      </c>
    </row>
    <row r="50" spans="1:21" x14ac:dyDescent="0.2">
      <c r="F5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AprMay2026</vt:lpstr>
      <vt:lpstr>R_ready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Finlay, Colin</dc:creator>
  <cp:lastModifiedBy>Finlay, Colin</cp:lastModifiedBy>
  <dcterms:created xsi:type="dcterms:W3CDTF">2025-06-11T12:48:21Z</dcterms:created>
  <dcterms:modified xsi:type="dcterms:W3CDTF">2026-06-03T20:14:28Z</dcterms:modified>
</cp:coreProperties>
</file>