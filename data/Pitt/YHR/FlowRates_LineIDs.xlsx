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infinlay/Desktop/PeraltaLab/CNH2/Davenport/YankeeHallBoatLaunch/FlowThrough_June9thWeek/"/>
    </mc:Choice>
  </mc:AlternateContent>
  <xr:revisionPtr revIDLastSave="0" documentId="13_ncr:1_{A517A4DF-8264-EF42-946D-4388DB70F5B6}" xr6:coauthVersionLast="47" xr6:coauthVersionMax="47" xr10:uidLastSave="{00000000-0000-0000-0000-000000000000}"/>
  <bookViews>
    <workbookView xWindow="0" yWindow="680" windowWidth="34560" windowHeight="20320" activeTab="1" xr2:uid="{63F2B99B-D7C4-0A46-8AFC-3D1045C92DF8}"/>
  </bookViews>
  <sheets>
    <sheet name="June11" sheetId="1" r:id="rId1"/>
    <sheet name="June17" sheetId="3" r:id="rId2"/>
    <sheet name="June17_sorted" sheetId="4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2" i="3" l="1"/>
  <c r="M94" i="3"/>
  <c r="M93" i="3"/>
  <c r="O43" i="1"/>
  <c r="O42" i="1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2" i="3"/>
  <c r="T41" i="1"/>
  <c r="T15" i="1"/>
  <c r="T16" i="1"/>
  <c r="T17" i="1"/>
  <c r="T18" i="1"/>
  <c r="T19" i="1"/>
  <c r="T20" i="1"/>
  <c r="T21" i="1"/>
  <c r="T22" i="1"/>
  <c r="T23" i="1"/>
  <c r="T24" i="1"/>
  <c r="T25" i="1"/>
  <c r="T26" i="1"/>
  <c r="T28" i="1"/>
  <c r="T29" i="1"/>
  <c r="T30" i="1"/>
  <c r="T31" i="1"/>
  <c r="T32" i="1"/>
  <c r="T33" i="1"/>
  <c r="T34" i="1"/>
  <c r="T35" i="1"/>
  <c r="T36" i="1"/>
  <c r="T37" i="1"/>
  <c r="T38" i="1"/>
  <c r="T39" i="1"/>
  <c r="T3" i="1"/>
  <c r="T4" i="1"/>
  <c r="T5" i="1"/>
  <c r="T6" i="1"/>
  <c r="T7" i="1"/>
  <c r="T8" i="1"/>
  <c r="T9" i="1"/>
  <c r="T10" i="1"/>
  <c r="T11" i="1"/>
  <c r="T12" i="1"/>
  <c r="T13" i="1"/>
  <c r="T2" i="1"/>
  <c r="S52" i="4"/>
  <c r="O49" i="4"/>
  <c r="M49" i="4"/>
  <c r="O46" i="4"/>
  <c r="M46" i="4"/>
  <c r="S43" i="4"/>
  <c r="S40" i="4"/>
  <c r="O37" i="4"/>
  <c r="M37" i="4"/>
  <c r="O34" i="4"/>
  <c r="M34" i="4"/>
  <c r="O31" i="4"/>
  <c r="M31" i="4"/>
  <c r="S28" i="4"/>
  <c r="O25" i="4"/>
  <c r="M25" i="4"/>
  <c r="S22" i="4"/>
  <c r="O19" i="4"/>
  <c r="M19" i="4"/>
  <c r="O16" i="4"/>
  <c r="M16" i="4"/>
  <c r="O13" i="4"/>
  <c r="M13" i="4"/>
  <c r="O10" i="4"/>
  <c r="M10" i="4"/>
  <c r="O7" i="4"/>
  <c r="M7" i="4"/>
  <c r="O4" i="4"/>
  <c r="M4" i="4"/>
  <c r="S51" i="4"/>
  <c r="O48" i="4"/>
  <c r="M48" i="4"/>
  <c r="O45" i="4"/>
  <c r="M45" i="4"/>
  <c r="S42" i="4"/>
  <c r="S39" i="4"/>
  <c r="O36" i="4"/>
  <c r="M36" i="4"/>
  <c r="O33" i="4"/>
  <c r="M33" i="4"/>
  <c r="O30" i="4"/>
  <c r="M30" i="4"/>
  <c r="S27" i="4"/>
  <c r="O24" i="4"/>
  <c r="M24" i="4"/>
  <c r="S21" i="4"/>
  <c r="O18" i="4"/>
  <c r="M18" i="4"/>
  <c r="O15" i="4"/>
  <c r="M15" i="4"/>
  <c r="O12" i="4"/>
  <c r="M12" i="4"/>
  <c r="O9" i="4"/>
  <c r="M9" i="4"/>
  <c r="O6" i="4"/>
  <c r="M6" i="4"/>
  <c r="O3" i="4"/>
  <c r="M3" i="4"/>
  <c r="S50" i="4"/>
  <c r="O47" i="4"/>
  <c r="M47" i="4"/>
  <c r="O44" i="4"/>
  <c r="M44" i="4"/>
  <c r="S41" i="4"/>
  <c r="S38" i="4"/>
  <c r="O35" i="4"/>
  <c r="M35" i="4"/>
  <c r="O32" i="4"/>
  <c r="M32" i="4"/>
  <c r="O29" i="4"/>
  <c r="M29" i="4"/>
  <c r="S26" i="4"/>
  <c r="O23" i="4"/>
  <c r="M23" i="4"/>
  <c r="S20" i="4"/>
  <c r="O17" i="4"/>
  <c r="M17" i="4"/>
  <c r="O14" i="4"/>
  <c r="M14" i="4"/>
  <c r="O11" i="4"/>
  <c r="M11" i="4"/>
  <c r="O8" i="4"/>
  <c r="M8" i="4"/>
  <c r="O5" i="4"/>
  <c r="M5" i="4"/>
  <c r="O2" i="4"/>
  <c r="M2" i="4"/>
  <c r="S90" i="3"/>
  <c r="S86" i="3"/>
  <c r="S87" i="3"/>
  <c r="S82" i="3"/>
  <c r="S80" i="3"/>
  <c r="S72" i="3"/>
  <c r="S68" i="3"/>
  <c r="S69" i="3"/>
  <c r="S64" i="3"/>
  <c r="S62" i="3"/>
  <c r="S54" i="3"/>
  <c r="S50" i="3"/>
  <c r="S51" i="3"/>
  <c r="S46" i="3"/>
  <c r="S44" i="3"/>
  <c r="S36" i="3"/>
  <c r="S32" i="3"/>
  <c r="S33" i="3"/>
  <c r="S28" i="3"/>
  <c r="S26" i="3"/>
  <c r="S18" i="3"/>
  <c r="S14" i="3"/>
  <c r="S15" i="3"/>
  <c r="S10" i="3"/>
  <c r="S8" i="3"/>
  <c r="R39" i="1"/>
  <c r="R31" i="1"/>
  <c r="R26" i="1"/>
  <c r="R18" i="1"/>
  <c r="R13" i="1"/>
  <c r="R5" i="1"/>
  <c r="S3" i="3"/>
  <c r="S4" i="3"/>
  <c r="S5" i="3"/>
  <c r="S6" i="3"/>
  <c r="S7" i="3"/>
  <c r="S9" i="3"/>
  <c r="S11" i="3"/>
  <c r="S12" i="3"/>
  <c r="S13" i="3"/>
  <c r="S16" i="3"/>
  <c r="S17" i="3"/>
  <c r="S20" i="3"/>
  <c r="S21" i="3"/>
  <c r="S22" i="3"/>
  <c r="S23" i="3"/>
  <c r="S24" i="3"/>
  <c r="S25" i="3"/>
  <c r="S27" i="3"/>
  <c r="S29" i="3"/>
  <c r="S30" i="3"/>
  <c r="S31" i="3"/>
  <c r="S34" i="3"/>
  <c r="S35" i="3"/>
  <c r="S38" i="3"/>
  <c r="S39" i="3"/>
  <c r="S40" i="3"/>
  <c r="S41" i="3"/>
  <c r="S42" i="3"/>
  <c r="S43" i="3"/>
  <c r="S45" i="3"/>
  <c r="S47" i="3"/>
  <c r="S48" i="3"/>
  <c r="S49" i="3"/>
  <c r="S52" i="3"/>
  <c r="S53" i="3"/>
  <c r="S56" i="3"/>
  <c r="S57" i="3"/>
  <c r="S58" i="3"/>
  <c r="S59" i="3"/>
  <c r="S60" i="3"/>
  <c r="S61" i="3"/>
  <c r="S63" i="3"/>
  <c r="S65" i="3"/>
  <c r="S66" i="3"/>
  <c r="S67" i="3"/>
  <c r="S70" i="3"/>
  <c r="S71" i="3"/>
  <c r="S74" i="3"/>
  <c r="S75" i="3"/>
  <c r="S76" i="3"/>
  <c r="S77" i="3"/>
  <c r="S78" i="3"/>
  <c r="S79" i="3"/>
  <c r="S81" i="3"/>
  <c r="S83" i="3"/>
  <c r="S84" i="3"/>
  <c r="S85" i="3"/>
  <c r="S88" i="3"/>
  <c r="S89" i="3"/>
  <c r="R3" i="3"/>
  <c r="R4" i="3"/>
  <c r="R5" i="3"/>
  <c r="R6" i="3"/>
  <c r="R7" i="3"/>
  <c r="R9" i="3"/>
  <c r="R11" i="3"/>
  <c r="R12" i="3"/>
  <c r="R13" i="3"/>
  <c r="R16" i="3"/>
  <c r="R17" i="3"/>
  <c r="R20" i="3"/>
  <c r="R21" i="3"/>
  <c r="R22" i="3"/>
  <c r="R23" i="3"/>
  <c r="R24" i="3"/>
  <c r="R25" i="3"/>
  <c r="R27" i="3"/>
  <c r="R29" i="3"/>
  <c r="R30" i="3"/>
  <c r="R31" i="3"/>
  <c r="R34" i="3"/>
  <c r="R35" i="3"/>
  <c r="R38" i="3"/>
  <c r="R39" i="3"/>
  <c r="R40" i="3"/>
  <c r="R41" i="3"/>
  <c r="R42" i="3"/>
  <c r="R43" i="3"/>
  <c r="R45" i="3"/>
  <c r="R47" i="3"/>
  <c r="R48" i="3"/>
  <c r="R49" i="3"/>
  <c r="R52" i="3"/>
  <c r="R53" i="3"/>
  <c r="R56" i="3"/>
  <c r="R57" i="3"/>
  <c r="R58" i="3"/>
  <c r="R59" i="3"/>
  <c r="R60" i="3"/>
  <c r="R61" i="3"/>
  <c r="R63" i="3"/>
  <c r="R65" i="3"/>
  <c r="R66" i="3"/>
  <c r="R67" i="3"/>
  <c r="R70" i="3"/>
  <c r="R71" i="3"/>
  <c r="R74" i="3"/>
  <c r="R75" i="3"/>
  <c r="R76" i="3"/>
  <c r="R77" i="3"/>
  <c r="R78" i="3"/>
  <c r="R79" i="3"/>
  <c r="R81" i="3"/>
  <c r="R83" i="3"/>
  <c r="R84" i="3"/>
  <c r="R85" i="3"/>
  <c r="R88" i="3"/>
  <c r="R89" i="3"/>
  <c r="Q3" i="3"/>
  <c r="Q4" i="3"/>
  <c r="Q5" i="3"/>
  <c r="Q6" i="3"/>
  <c r="Q7" i="3"/>
  <c r="Q9" i="3"/>
  <c r="Q11" i="3"/>
  <c r="Q12" i="3"/>
  <c r="Q13" i="3"/>
  <c r="Q16" i="3"/>
  <c r="Q17" i="3"/>
  <c r="Q20" i="3"/>
  <c r="Q21" i="3"/>
  <c r="Q22" i="3"/>
  <c r="Q23" i="3"/>
  <c r="Q24" i="3"/>
  <c r="Q25" i="3"/>
  <c r="Q27" i="3"/>
  <c r="Q29" i="3"/>
  <c r="Q30" i="3"/>
  <c r="Q31" i="3"/>
  <c r="Q34" i="3"/>
  <c r="Q35" i="3"/>
  <c r="Q38" i="3"/>
  <c r="Q39" i="3"/>
  <c r="Q40" i="3"/>
  <c r="Q41" i="3"/>
  <c r="Q42" i="3"/>
  <c r="Q43" i="3"/>
  <c r="Q45" i="3"/>
  <c r="Q47" i="3"/>
  <c r="Q48" i="3"/>
  <c r="Q49" i="3"/>
  <c r="Q52" i="3"/>
  <c r="Q53" i="3"/>
  <c r="Q56" i="3"/>
  <c r="Q57" i="3"/>
  <c r="Q58" i="3"/>
  <c r="Q59" i="3"/>
  <c r="Q60" i="3"/>
  <c r="Q61" i="3"/>
  <c r="Q63" i="3"/>
  <c r="Q65" i="3"/>
  <c r="Q66" i="3"/>
  <c r="Q67" i="3"/>
  <c r="Q70" i="3"/>
  <c r="Q71" i="3"/>
  <c r="Q74" i="3"/>
  <c r="Q75" i="3"/>
  <c r="Q76" i="3"/>
  <c r="Q77" i="3"/>
  <c r="Q78" i="3"/>
  <c r="Q79" i="3"/>
  <c r="Q81" i="3"/>
  <c r="Q83" i="3"/>
  <c r="Q84" i="3"/>
  <c r="Q85" i="3"/>
  <c r="Q88" i="3"/>
  <c r="Q89" i="3"/>
  <c r="P3" i="3"/>
  <c r="P4" i="3"/>
  <c r="P5" i="3"/>
  <c r="P6" i="3"/>
  <c r="P7" i="3"/>
  <c r="P9" i="3"/>
  <c r="P11" i="3"/>
  <c r="P12" i="3"/>
  <c r="P13" i="3"/>
  <c r="P16" i="3"/>
  <c r="P17" i="3"/>
  <c r="P20" i="3"/>
  <c r="P21" i="3"/>
  <c r="P22" i="3"/>
  <c r="P23" i="3"/>
  <c r="P24" i="3"/>
  <c r="P25" i="3"/>
  <c r="P27" i="3"/>
  <c r="P29" i="3"/>
  <c r="P30" i="3"/>
  <c r="P31" i="3"/>
  <c r="P34" i="3"/>
  <c r="P35" i="3"/>
  <c r="P38" i="3"/>
  <c r="P39" i="3"/>
  <c r="P40" i="3"/>
  <c r="P41" i="3"/>
  <c r="P42" i="3"/>
  <c r="P43" i="3"/>
  <c r="P45" i="3"/>
  <c r="P47" i="3"/>
  <c r="P48" i="3"/>
  <c r="P49" i="3"/>
  <c r="P52" i="3"/>
  <c r="P53" i="3"/>
  <c r="P56" i="3"/>
  <c r="P57" i="3"/>
  <c r="P58" i="3"/>
  <c r="P59" i="3"/>
  <c r="P60" i="3"/>
  <c r="P61" i="3"/>
  <c r="P63" i="3"/>
  <c r="P65" i="3"/>
  <c r="P66" i="3"/>
  <c r="P67" i="3"/>
  <c r="P70" i="3"/>
  <c r="P71" i="3"/>
  <c r="P74" i="3"/>
  <c r="P75" i="3"/>
  <c r="P76" i="3"/>
  <c r="P77" i="3"/>
  <c r="P78" i="3"/>
  <c r="P79" i="3"/>
  <c r="P81" i="3"/>
  <c r="P83" i="3"/>
  <c r="P84" i="3"/>
  <c r="P85" i="3"/>
  <c r="P88" i="3"/>
  <c r="P89" i="3"/>
  <c r="O3" i="3"/>
  <c r="O4" i="3"/>
  <c r="O5" i="3"/>
  <c r="O6" i="3"/>
  <c r="O7" i="3"/>
  <c r="O9" i="3"/>
  <c r="O10" i="3"/>
  <c r="O11" i="3"/>
  <c r="O12" i="3"/>
  <c r="O13" i="3"/>
  <c r="O16" i="3"/>
  <c r="O17" i="3"/>
  <c r="O20" i="3"/>
  <c r="O21" i="3"/>
  <c r="O22" i="3"/>
  <c r="O23" i="3"/>
  <c r="O24" i="3"/>
  <c r="O25" i="3"/>
  <c r="O27" i="3"/>
  <c r="O29" i="3"/>
  <c r="O30" i="3"/>
  <c r="O31" i="3"/>
  <c r="O34" i="3"/>
  <c r="O35" i="3"/>
  <c r="O38" i="3"/>
  <c r="O39" i="3"/>
  <c r="O40" i="3"/>
  <c r="O41" i="3"/>
  <c r="O42" i="3"/>
  <c r="O43" i="3"/>
  <c r="O45" i="3"/>
  <c r="O47" i="3"/>
  <c r="O48" i="3"/>
  <c r="O49" i="3"/>
  <c r="O52" i="3"/>
  <c r="O53" i="3"/>
  <c r="O56" i="3"/>
  <c r="O57" i="3"/>
  <c r="O58" i="3"/>
  <c r="O59" i="3"/>
  <c r="O60" i="3"/>
  <c r="O61" i="3"/>
  <c r="O63" i="3"/>
  <c r="O65" i="3"/>
  <c r="O66" i="3"/>
  <c r="O67" i="3"/>
  <c r="O70" i="3"/>
  <c r="O71" i="3"/>
  <c r="O74" i="3"/>
  <c r="O75" i="3"/>
  <c r="O76" i="3"/>
  <c r="O77" i="3"/>
  <c r="O78" i="3"/>
  <c r="O79" i="3"/>
  <c r="O81" i="3"/>
  <c r="O83" i="3"/>
  <c r="O84" i="3"/>
  <c r="O85" i="3"/>
  <c r="O88" i="3"/>
  <c r="O89" i="3"/>
  <c r="M20" i="3"/>
  <c r="M21" i="3"/>
  <c r="M22" i="3"/>
  <c r="M23" i="3"/>
  <c r="M24" i="3"/>
  <c r="M25" i="3"/>
  <c r="M27" i="3"/>
  <c r="M29" i="3"/>
  <c r="M30" i="3"/>
  <c r="M31" i="3"/>
  <c r="M34" i="3"/>
  <c r="M35" i="3"/>
  <c r="M38" i="3"/>
  <c r="M39" i="3"/>
  <c r="M40" i="3"/>
  <c r="M41" i="3"/>
  <c r="M42" i="3"/>
  <c r="M43" i="3"/>
  <c r="M45" i="3"/>
  <c r="M47" i="3"/>
  <c r="M48" i="3"/>
  <c r="M49" i="3"/>
  <c r="M52" i="3"/>
  <c r="M53" i="3"/>
  <c r="M56" i="3"/>
  <c r="M57" i="3"/>
  <c r="M58" i="3"/>
  <c r="M59" i="3"/>
  <c r="M60" i="3"/>
  <c r="M61" i="3"/>
  <c r="M63" i="3"/>
  <c r="M65" i="3"/>
  <c r="M66" i="3"/>
  <c r="M67" i="3"/>
  <c r="M70" i="3"/>
  <c r="M71" i="3"/>
  <c r="M74" i="3"/>
  <c r="M75" i="3"/>
  <c r="M76" i="3"/>
  <c r="M77" i="3"/>
  <c r="M78" i="3"/>
  <c r="M79" i="3"/>
  <c r="M81" i="3"/>
  <c r="M83" i="3"/>
  <c r="M84" i="3"/>
  <c r="M85" i="3"/>
  <c r="M88" i="3"/>
  <c r="M89" i="3"/>
  <c r="M3" i="3"/>
  <c r="M4" i="3"/>
  <c r="M5" i="3"/>
  <c r="M6" i="3"/>
  <c r="M7" i="3"/>
  <c r="M9" i="3"/>
  <c r="M11" i="3"/>
  <c r="M12" i="3"/>
  <c r="M13" i="3"/>
  <c r="M16" i="3"/>
  <c r="M17" i="3"/>
  <c r="O2" i="3"/>
  <c r="M2" i="3"/>
  <c r="N15" i="1"/>
  <c r="N16" i="1"/>
  <c r="N17" i="1"/>
  <c r="N19" i="1"/>
  <c r="N20" i="1"/>
  <c r="N21" i="1"/>
  <c r="N22" i="1"/>
  <c r="N23" i="1"/>
  <c r="N24" i="1"/>
  <c r="N25" i="1"/>
  <c r="O25" i="1"/>
  <c r="P25" i="1"/>
  <c r="Q25" i="1"/>
  <c r="R25" i="1"/>
  <c r="N28" i="1"/>
  <c r="N29" i="1"/>
  <c r="N30" i="1"/>
  <c r="N32" i="1"/>
  <c r="N33" i="1"/>
  <c r="O33" i="1"/>
  <c r="P33" i="1"/>
  <c r="Q33" i="1"/>
  <c r="R33" i="1"/>
  <c r="N34" i="1"/>
  <c r="N35" i="1"/>
  <c r="N36" i="1"/>
  <c r="N37" i="1"/>
  <c r="N38" i="1"/>
  <c r="L20" i="1"/>
  <c r="L21" i="1"/>
  <c r="O21" i="1"/>
  <c r="P21" i="1"/>
  <c r="Q21" i="1"/>
  <c r="R21" i="1"/>
  <c r="L22" i="1"/>
  <c r="O22" i="1"/>
  <c r="P22" i="1"/>
  <c r="Q22" i="1"/>
  <c r="R22" i="1"/>
  <c r="L23" i="1"/>
  <c r="O23" i="1"/>
  <c r="P23" i="1"/>
  <c r="Q23" i="1"/>
  <c r="R23" i="1"/>
  <c r="L24" i="1"/>
  <c r="L25" i="1"/>
  <c r="L28" i="1"/>
  <c r="L29" i="1"/>
  <c r="O29" i="1"/>
  <c r="P29" i="1"/>
  <c r="Q29" i="1"/>
  <c r="R29" i="1"/>
  <c r="L30" i="1"/>
  <c r="L32" i="1"/>
  <c r="L33" i="1"/>
  <c r="L34" i="1"/>
  <c r="L35" i="1"/>
  <c r="L36" i="1"/>
  <c r="L37" i="1"/>
  <c r="L38" i="1"/>
  <c r="O38" i="1"/>
  <c r="P38" i="1"/>
  <c r="Q38" i="1"/>
  <c r="R38" i="1"/>
  <c r="L15" i="1"/>
  <c r="L16" i="1"/>
  <c r="O16" i="1"/>
  <c r="P16" i="1"/>
  <c r="Q16" i="1"/>
  <c r="R16" i="1"/>
  <c r="L17" i="1"/>
  <c r="O17" i="1"/>
  <c r="P17" i="1"/>
  <c r="Q17" i="1"/>
  <c r="R17" i="1"/>
  <c r="L19" i="1"/>
  <c r="O19" i="1"/>
  <c r="P19" i="1"/>
  <c r="Q19" i="1"/>
  <c r="R19" i="1"/>
  <c r="L3" i="1"/>
  <c r="L4" i="1"/>
  <c r="L6" i="1"/>
  <c r="L7" i="1"/>
  <c r="L8" i="1"/>
  <c r="L9" i="1"/>
  <c r="L10" i="1"/>
  <c r="L11" i="1"/>
  <c r="L12" i="1"/>
  <c r="L2" i="1"/>
  <c r="N3" i="1"/>
  <c r="N4" i="1"/>
  <c r="N6" i="1"/>
  <c r="N7" i="1"/>
  <c r="N8" i="1"/>
  <c r="N9" i="1"/>
  <c r="N10" i="1"/>
  <c r="N11" i="1"/>
  <c r="N12" i="1"/>
  <c r="N2" i="1"/>
  <c r="P45" i="4"/>
  <c r="Q45" i="4"/>
  <c r="R45" i="4"/>
  <c r="S45" i="4"/>
  <c r="P11" i="4"/>
  <c r="Q11" i="4"/>
  <c r="R11" i="4"/>
  <c r="S11" i="4"/>
  <c r="P24" i="4"/>
  <c r="Q24" i="4"/>
  <c r="R24" i="4"/>
  <c r="S24" i="4"/>
  <c r="P32" i="4"/>
  <c r="Q32" i="4"/>
  <c r="R32" i="4"/>
  <c r="S32" i="4"/>
  <c r="P18" i="4"/>
  <c r="Q18" i="4"/>
  <c r="R18" i="4"/>
  <c r="S18" i="4"/>
  <c r="P25" i="4"/>
  <c r="Q25" i="4"/>
  <c r="R25" i="4"/>
  <c r="S25" i="4"/>
  <c r="P34" i="4"/>
  <c r="Q34" i="4"/>
  <c r="R34" i="4"/>
  <c r="S34" i="4"/>
  <c r="P3" i="4"/>
  <c r="Q3" i="4"/>
  <c r="R3" i="4"/>
  <c r="S3" i="4"/>
  <c r="P37" i="4"/>
  <c r="Q37" i="4"/>
  <c r="R37" i="4"/>
  <c r="S37" i="4"/>
  <c r="P6" i="4"/>
  <c r="Q6" i="4"/>
  <c r="R6" i="4"/>
  <c r="S6" i="4"/>
  <c r="P9" i="4"/>
  <c r="Q9" i="4"/>
  <c r="R9" i="4"/>
  <c r="S9" i="4"/>
  <c r="P48" i="4"/>
  <c r="Q48" i="4"/>
  <c r="R48" i="4"/>
  <c r="S48" i="4"/>
  <c r="P17" i="4"/>
  <c r="Q17" i="4"/>
  <c r="R17" i="4"/>
  <c r="S17" i="4"/>
  <c r="P4" i="4"/>
  <c r="Q4" i="4"/>
  <c r="R4" i="4"/>
  <c r="S4" i="4"/>
  <c r="P7" i="4"/>
  <c r="Q7" i="4"/>
  <c r="R7" i="4"/>
  <c r="S7" i="4"/>
  <c r="P30" i="4"/>
  <c r="Q30" i="4"/>
  <c r="R30" i="4"/>
  <c r="S30" i="4"/>
  <c r="P33" i="4"/>
  <c r="Q33" i="4"/>
  <c r="R33" i="4"/>
  <c r="S33" i="4"/>
  <c r="P19" i="4"/>
  <c r="Q19" i="4"/>
  <c r="R19" i="4"/>
  <c r="S19" i="4"/>
  <c r="P49" i="4"/>
  <c r="Q49" i="4"/>
  <c r="R49" i="4"/>
  <c r="S49" i="4"/>
  <c r="P14" i="4"/>
  <c r="Q14" i="4"/>
  <c r="R14" i="4"/>
  <c r="S14" i="4"/>
  <c r="P44" i="4"/>
  <c r="Q44" i="4"/>
  <c r="R44" i="4"/>
  <c r="S44" i="4"/>
  <c r="P47" i="4"/>
  <c r="Q47" i="4"/>
  <c r="R47" i="4"/>
  <c r="S47" i="4"/>
  <c r="P31" i="4"/>
  <c r="Q31" i="4"/>
  <c r="R31" i="4"/>
  <c r="S31" i="4"/>
  <c r="P23" i="4"/>
  <c r="Q23" i="4"/>
  <c r="R23" i="4"/>
  <c r="S23" i="4"/>
  <c r="P2" i="4"/>
  <c r="Q2" i="4"/>
  <c r="R2" i="4"/>
  <c r="S2" i="4"/>
  <c r="P10" i="4"/>
  <c r="Q10" i="4"/>
  <c r="R10" i="4"/>
  <c r="S10" i="4"/>
  <c r="P29" i="4"/>
  <c r="Q29" i="4"/>
  <c r="R29" i="4"/>
  <c r="S29" i="4"/>
  <c r="P5" i="4"/>
  <c r="Q5" i="4"/>
  <c r="R5" i="4"/>
  <c r="S5" i="4"/>
  <c r="P13" i="4"/>
  <c r="Q13" i="4"/>
  <c r="R13" i="4"/>
  <c r="S13" i="4"/>
  <c r="P8" i="4"/>
  <c r="Q8" i="4"/>
  <c r="R8" i="4"/>
  <c r="S8" i="4"/>
  <c r="P36" i="4"/>
  <c r="Q36" i="4"/>
  <c r="R36" i="4"/>
  <c r="S36" i="4"/>
  <c r="P16" i="4"/>
  <c r="Q16" i="4"/>
  <c r="R16" i="4"/>
  <c r="S16" i="4"/>
  <c r="P46" i="4"/>
  <c r="Q46" i="4"/>
  <c r="R46" i="4"/>
  <c r="S46" i="4"/>
  <c r="P12" i="4"/>
  <c r="Q12" i="4"/>
  <c r="R12" i="4"/>
  <c r="S12" i="4"/>
  <c r="P35" i="4"/>
  <c r="Q35" i="4"/>
  <c r="R35" i="4"/>
  <c r="S35" i="4"/>
  <c r="P15" i="4"/>
  <c r="Q15" i="4"/>
  <c r="R15" i="4"/>
  <c r="S15" i="4"/>
  <c r="O30" i="1"/>
  <c r="P30" i="1"/>
  <c r="Q30" i="1"/>
  <c r="R30" i="1"/>
  <c r="O36" i="1"/>
  <c r="P36" i="1"/>
  <c r="Q36" i="1"/>
  <c r="R36" i="1"/>
  <c r="O35" i="1"/>
  <c r="P35" i="1"/>
  <c r="Q35" i="1"/>
  <c r="R35" i="1"/>
  <c r="O34" i="1"/>
  <c r="P34" i="1"/>
  <c r="Q34" i="1"/>
  <c r="R34" i="1"/>
  <c r="O32" i="1"/>
  <c r="P32" i="1"/>
  <c r="Q32" i="1"/>
  <c r="R32" i="1"/>
  <c r="O28" i="1"/>
  <c r="P28" i="1"/>
  <c r="Q28" i="1"/>
  <c r="R28" i="1"/>
  <c r="O24" i="1"/>
  <c r="P24" i="1"/>
  <c r="Q24" i="1"/>
  <c r="R24" i="1"/>
  <c r="O20" i="1"/>
  <c r="P20" i="1"/>
  <c r="Q20" i="1"/>
  <c r="R20" i="1"/>
  <c r="O37" i="1"/>
  <c r="P37" i="1"/>
  <c r="Q37" i="1"/>
  <c r="R37" i="1"/>
  <c r="O15" i="1"/>
  <c r="P15" i="1"/>
  <c r="Q15" i="1"/>
  <c r="R15" i="1"/>
  <c r="O6" i="1"/>
  <c r="P6" i="1"/>
  <c r="Q6" i="1"/>
  <c r="R6" i="1"/>
  <c r="O3" i="1"/>
  <c r="P3" i="1"/>
  <c r="Q3" i="1"/>
  <c r="R3" i="1"/>
  <c r="O7" i="1"/>
  <c r="P7" i="1"/>
  <c r="Q7" i="1"/>
  <c r="R7" i="1"/>
  <c r="O4" i="1"/>
  <c r="P4" i="1"/>
  <c r="Q4" i="1"/>
  <c r="R4" i="1"/>
  <c r="P2" i="3"/>
  <c r="Q2" i="3"/>
  <c r="R2" i="3"/>
  <c r="S2" i="3"/>
  <c r="O9" i="1"/>
  <c r="P9" i="1"/>
  <c r="Q9" i="1"/>
  <c r="R9" i="1"/>
  <c r="O8" i="1"/>
  <c r="P8" i="1"/>
  <c r="Q8" i="1"/>
  <c r="R8" i="1"/>
  <c r="O12" i="1"/>
  <c r="P12" i="1"/>
  <c r="Q12" i="1"/>
  <c r="R12" i="1"/>
  <c r="O11" i="1"/>
  <c r="P11" i="1"/>
  <c r="Q11" i="1"/>
  <c r="R11" i="1"/>
  <c r="O2" i="1"/>
  <c r="P2" i="1"/>
  <c r="Q2" i="1"/>
  <c r="R2" i="1"/>
  <c r="O10" i="1"/>
  <c r="P10" i="1"/>
  <c r="Q10" i="1"/>
  <c r="R10" i="1"/>
</calcChain>
</file>

<file path=xl/sharedStrings.xml><?xml version="1.0" encoding="utf-8"?>
<sst xmlns="http://schemas.openxmlformats.org/spreadsheetml/2006/main" count="1131" uniqueCount="62">
  <si>
    <t>Core_ID</t>
  </si>
  <si>
    <t>Line_Number</t>
  </si>
  <si>
    <t>Time</t>
  </si>
  <si>
    <t>A01</t>
  </si>
  <si>
    <t>A02</t>
  </si>
  <si>
    <t>A03</t>
  </si>
  <si>
    <t>Bypass1</t>
  </si>
  <si>
    <t>A05</t>
  </si>
  <si>
    <t>A06</t>
  </si>
  <si>
    <t>A07</t>
  </si>
  <si>
    <t>B08</t>
  </si>
  <si>
    <t>B09</t>
  </si>
  <si>
    <t>B10</t>
  </si>
  <si>
    <t>B11</t>
  </si>
  <si>
    <t>Bypass2</t>
  </si>
  <si>
    <t>Date</t>
  </si>
  <si>
    <t>Tank</t>
  </si>
  <si>
    <t>Left</t>
  </si>
  <si>
    <t>Right</t>
  </si>
  <si>
    <t>C16</t>
  </si>
  <si>
    <t>B24</t>
  </si>
  <si>
    <t>A23</t>
  </si>
  <si>
    <t>C18</t>
  </si>
  <si>
    <t>B13</t>
  </si>
  <si>
    <t>B15</t>
  </si>
  <si>
    <t>C17</t>
  </si>
  <si>
    <t>A04</t>
  </si>
  <si>
    <t>C22</t>
  </si>
  <si>
    <t>C20</t>
  </si>
  <si>
    <t>C25</t>
  </si>
  <si>
    <t>B12</t>
  </si>
  <si>
    <t>Bypass6.18_L1</t>
  </si>
  <si>
    <t>Bypass6.18_L2</t>
  </si>
  <si>
    <t>Bypass6.18_R1</t>
  </si>
  <si>
    <t>Bypass6.18_R2</t>
  </si>
  <si>
    <t>Bypass6.18_R3</t>
  </si>
  <si>
    <t>NA</t>
  </si>
  <si>
    <t>Volume_of_water_mL</t>
  </si>
  <si>
    <t>Dilution_rate_D_min-1</t>
  </si>
  <si>
    <t>Height_2_cm</t>
  </si>
  <si>
    <t>Height_3_cm</t>
  </si>
  <si>
    <t>Height_4_cm</t>
  </si>
  <si>
    <t>Time_point</t>
  </si>
  <si>
    <t>T1</t>
  </si>
  <si>
    <t>T2</t>
  </si>
  <si>
    <t>T3</t>
  </si>
  <si>
    <t>pre_incubation</t>
  </si>
  <si>
    <t>pre-T3</t>
  </si>
  <si>
    <t>Pump_setting</t>
  </si>
  <si>
    <t>Flow_rate_mL_min-1</t>
  </si>
  <si>
    <t>Water_column_height_1_cm</t>
  </si>
  <si>
    <t>Average_height_cm</t>
  </si>
  <si>
    <t>Core_diameter_cm</t>
  </si>
  <si>
    <t>Core_radius_cm</t>
  </si>
  <si>
    <t>Core_residence_time_min</t>
  </si>
  <si>
    <t>Core_residence_time_hr</t>
  </si>
  <si>
    <t>post-T3 (used as T3)</t>
  </si>
  <si>
    <t>Flow_rate_L_hr</t>
  </si>
  <si>
    <t>Averages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</si>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</sst>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0" fontId="0" fillId="2" borderId="1" xfId="0" applyFill="1" applyBorder="1"/>
    <xf numFmtId="2" fontId="0" fillId="2" borderId="1" xfId="0" applyNumberFormat="1" applyFill="1" applyBorder="1"/>
    <xf numFmtId="0" fontId="0" fillId="2" borderId="0" xfId="0" applyFill="1"/>
    <xf numFmtId="0" fontId="0" fillId="0" borderId="2" xfId="0" applyBorder="1"/>
    <xf numFmtId="20" fontId="0" fillId="0" borderId="2" xfId="0" applyNumberFormat="1" applyBorder="1"/>
    <xf numFmtId="0" fontId="0" fillId="0" borderId="3" xfId="0" applyBorder="1"/>
    <xf numFmtId="164" fontId="0" fillId="0" borderId="3" xfId="0" applyNumberFormat="1" applyBorder="1"/>
    <xf numFmtId="0" fontId="0" fillId="0" borderId="4" xfId="0" applyBorder="1"/>
    <xf numFmtId="164" fontId="0" fillId="2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FC90-82C0-834F-8B4D-966A1BF54210}">
  <dimension ref="A1:T43"/>
  <sheetViews>
    <sheetView topLeftCell="A12" zoomScale="160" zoomScaleNormal="160" workbookViewId="0">
      <selection activeCell="L33" sqref="L33"/>
    </sheetView>
  </sheetViews>
  <sheetFormatPr baseColWidth="10" defaultRowHeight="16" x14ac:dyDescent="0.2"/>
  <cols>
    <col min="1" max="1" width="11.83203125" bestFit="1" customWidth="1"/>
    <col min="2" max="2" width="7.83203125" bestFit="1" customWidth="1"/>
    <col min="3" max="3" width="7.5" bestFit="1" customWidth="1"/>
    <col min="4" max="4" width="12" bestFit="1" customWidth="1"/>
    <col min="5" max="5" width="18" bestFit="1" customWidth="1"/>
    <col min="6" max="6" width="5.6640625" bestFit="1" customWidth="1"/>
    <col min="7" max="7" width="10" bestFit="1" customWidth="1"/>
    <col min="8" max="8" width="25" bestFit="1" customWidth="1"/>
    <col min="9" max="11" width="11.6640625" bestFit="1" customWidth="1"/>
    <col min="12" max="13" width="17.1640625" bestFit="1" customWidth="1"/>
    <col min="14" max="14" width="14.83203125" bestFit="1" customWidth="1"/>
    <col min="15" max="15" width="18.33203125" bestFit="1" customWidth="1"/>
    <col min="16" max="16" width="19.6640625" bestFit="1" customWidth="1"/>
    <col min="17" max="17" width="23.33203125" bestFit="1" customWidth="1"/>
    <col min="18" max="18" width="22" bestFit="1" customWidth="1"/>
    <col min="19" max="19" width="7.83203125" bestFit="1" customWidth="1"/>
    <col min="20" max="20" width="13.33203125" bestFit="1" customWidth="1"/>
  </cols>
  <sheetData>
    <row r="1" spans="1:20" x14ac:dyDescent="0.2">
      <c r="A1" s="1" t="s">
        <v>1</v>
      </c>
      <c r="B1" s="1" t="s">
        <v>0</v>
      </c>
      <c r="C1" s="1" t="s">
        <v>15</v>
      </c>
      <c r="D1" s="1" t="s">
        <v>48</v>
      </c>
      <c r="E1" s="1" t="s">
        <v>49</v>
      </c>
      <c r="F1" s="1" t="s">
        <v>2</v>
      </c>
      <c r="G1" s="1" t="s">
        <v>42</v>
      </c>
      <c r="H1" s="1" t="s">
        <v>50</v>
      </c>
      <c r="I1" s="1" t="s">
        <v>39</v>
      </c>
      <c r="J1" s="1" t="s">
        <v>40</v>
      </c>
      <c r="K1" s="1" t="s">
        <v>41</v>
      </c>
      <c r="L1" s="1" t="s">
        <v>51</v>
      </c>
      <c r="M1" s="1" t="s">
        <v>52</v>
      </c>
      <c r="N1" s="1" t="s">
        <v>53</v>
      </c>
      <c r="O1" s="1" t="s">
        <v>37</v>
      </c>
      <c r="P1" s="1" t="s">
        <v>38</v>
      </c>
      <c r="Q1" s="1" t="s">
        <v>54</v>
      </c>
      <c r="R1" s="1" t="s">
        <v>55</v>
      </c>
      <c r="S1" s="1" t="s">
        <v>0</v>
      </c>
      <c r="T1" s="1" t="s">
        <v>57</v>
      </c>
    </row>
    <row r="2" spans="1:20" x14ac:dyDescent="0.2">
      <c r="A2" s="1">
        <v>1</v>
      </c>
      <c r="B2" s="1" t="s">
        <v>3</v>
      </c>
      <c r="C2" s="2">
        <v>45819</v>
      </c>
      <c r="D2" s="1">
        <v>1.5</v>
      </c>
      <c r="E2" s="4">
        <v>0.5</v>
      </c>
      <c r="F2" s="3">
        <v>0.37361111111111112</v>
      </c>
      <c r="G2" s="1" t="s">
        <v>43</v>
      </c>
      <c r="H2" s="1">
        <v>9.1999999999999993</v>
      </c>
      <c r="I2" s="4">
        <v>10</v>
      </c>
      <c r="J2" s="1">
        <v>9.1</v>
      </c>
      <c r="K2" s="4">
        <v>9</v>
      </c>
      <c r="L2" s="1">
        <f>AVERAGE(H2:K2)</f>
        <v>9.3249999999999993</v>
      </c>
      <c r="M2" s="1">
        <v>6.3</v>
      </c>
      <c r="N2" s="1">
        <f>M2/2</f>
        <v>3.15</v>
      </c>
      <c r="O2" s="1">
        <f>PI()*(N2^2)*L2</f>
        <v>290.683125206407</v>
      </c>
      <c r="P2" s="1">
        <f>E2/O2</f>
        <v>1.7200860890874289E-3</v>
      </c>
      <c r="Q2" s="1">
        <f>1/P2</f>
        <v>581.366250412814</v>
      </c>
      <c r="R2" s="5">
        <f>Q2/60</f>
        <v>9.6894375068802336</v>
      </c>
      <c r="S2" s="1" t="s">
        <v>3</v>
      </c>
      <c r="T2" s="1">
        <f>E2*(1/1000)*(60/1)</f>
        <v>0.03</v>
      </c>
    </row>
    <row r="3" spans="1:20" x14ac:dyDescent="0.2">
      <c r="A3" s="1">
        <v>2</v>
      </c>
      <c r="B3" s="1" t="s">
        <v>4</v>
      </c>
      <c r="C3" s="2">
        <v>45819</v>
      </c>
      <c r="D3" s="1">
        <v>1.5</v>
      </c>
      <c r="E3" s="4">
        <v>1.4</v>
      </c>
      <c r="F3" s="3">
        <v>0.37569444444444444</v>
      </c>
      <c r="G3" s="1" t="s">
        <v>43</v>
      </c>
      <c r="H3" s="1">
        <v>9.4</v>
      </c>
      <c r="I3" s="1">
        <v>9.3000000000000007</v>
      </c>
      <c r="J3" s="1">
        <v>9.1999999999999993</v>
      </c>
      <c r="K3" s="1">
        <v>9.1</v>
      </c>
      <c r="L3" s="1">
        <f t="shared" ref="L3:L38" si="0">AVERAGE(H3:K3)</f>
        <v>9.25</v>
      </c>
      <c r="M3" s="1">
        <v>6.3</v>
      </c>
      <c r="N3" s="1">
        <f>M3/2</f>
        <v>3.15</v>
      </c>
      <c r="O3" s="1">
        <f>PI()*(N3^2)*L3</f>
        <v>288.34519122351367</v>
      </c>
      <c r="P3" s="1">
        <f>E3/O3</f>
        <v>4.8552916525484062E-3</v>
      </c>
      <c r="Q3" s="1">
        <f t="shared" ref="Q3:Q38" si="1">1/P3</f>
        <v>205.96085087393834</v>
      </c>
      <c r="R3" s="5">
        <f t="shared" ref="R3:R39" si="2">Q3/60</f>
        <v>3.4326808478989723</v>
      </c>
      <c r="S3" s="1" t="s">
        <v>4</v>
      </c>
      <c r="T3" s="1">
        <f t="shared" ref="T3:T39" si="3">E3*(1/1000)*(60/1)</f>
        <v>8.4000000000000005E-2</v>
      </c>
    </row>
    <row r="4" spans="1:20" x14ac:dyDescent="0.2">
      <c r="A4" s="1">
        <v>3</v>
      </c>
      <c r="B4" s="1" t="s">
        <v>5</v>
      </c>
      <c r="C4" s="2">
        <v>45819</v>
      </c>
      <c r="D4" s="1">
        <v>1.5</v>
      </c>
      <c r="E4" s="4">
        <v>1.2</v>
      </c>
      <c r="F4" s="3">
        <v>0.37708333333333333</v>
      </c>
      <c r="G4" s="1" t="s">
        <v>43</v>
      </c>
      <c r="H4" s="1">
        <v>7.9</v>
      </c>
      <c r="I4" s="1">
        <v>8.1</v>
      </c>
      <c r="J4" s="1">
        <v>7.8</v>
      </c>
      <c r="K4" s="1">
        <v>7.7</v>
      </c>
      <c r="L4" s="1">
        <f t="shared" si="0"/>
        <v>7.875</v>
      </c>
      <c r="M4" s="1">
        <v>6.3</v>
      </c>
      <c r="N4" s="1">
        <f>M4/2</f>
        <v>3.15</v>
      </c>
      <c r="O4" s="1">
        <f>PI()*(N4^2)*L4</f>
        <v>245.48306820380216</v>
      </c>
      <c r="P4" s="1">
        <f>E4/O4</f>
        <v>4.8883208474637023E-3</v>
      </c>
      <c r="Q4" s="1">
        <f t="shared" si="1"/>
        <v>204.56922350316847</v>
      </c>
      <c r="R4" s="5">
        <f t="shared" si="2"/>
        <v>3.4094870583861412</v>
      </c>
      <c r="S4" s="1" t="s">
        <v>5</v>
      </c>
      <c r="T4" s="1">
        <f t="shared" si="3"/>
        <v>7.1999999999999995E-2</v>
      </c>
    </row>
    <row r="5" spans="1:20" x14ac:dyDescent="0.2">
      <c r="A5" s="1">
        <v>4</v>
      </c>
      <c r="B5" s="1" t="s">
        <v>6</v>
      </c>
      <c r="C5" s="2">
        <v>45819</v>
      </c>
      <c r="D5" s="1">
        <v>1.5</v>
      </c>
      <c r="E5" s="4">
        <v>1</v>
      </c>
      <c r="F5" s="3">
        <v>0.37847222222222221</v>
      </c>
      <c r="G5" s="1" t="s">
        <v>43</v>
      </c>
      <c r="H5" s="1" t="s">
        <v>36</v>
      </c>
      <c r="I5" s="1" t="s">
        <v>36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>
        <v>0</v>
      </c>
      <c r="R5" s="5">
        <f t="shared" si="2"/>
        <v>0</v>
      </c>
      <c r="S5" s="1" t="s">
        <v>6</v>
      </c>
      <c r="T5" s="1">
        <f t="shared" si="3"/>
        <v>0.06</v>
      </c>
    </row>
    <row r="6" spans="1:20" x14ac:dyDescent="0.2">
      <c r="A6" s="1">
        <v>5</v>
      </c>
      <c r="B6" s="1" t="s">
        <v>7</v>
      </c>
      <c r="C6" s="2">
        <v>45819</v>
      </c>
      <c r="D6" s="1">
        <v>1.5</v>
      </c>
      <c r="E6" s="4">
        <v>2</v>
      </c>
      <c r="F6" s="3">
        <v>0.37986111111111109</v>
      </c>
      <c r="G6" s="1" t="s">
        <v>43</v>
      </c>
      <c r="H6" s="1">
        <v>9.4</v>
      </c>
      <c r="I6" s="1">
        <v>9.6</v>
      </c>
      <c r="J6" s="1">
        <v>6.3</v>
      </c>
      <c r="K6" s="1">
        <v>7.7</v>
      </c>
      <c r="L6" s="1">
        <f t="shared" si="0"/>
        <v>8.25</v>
      </c>
      <c r="M6" s="1">
        <v>6.3</v>
      </c>
      <c r="N6" s="1">
        <f t="shared" ref="N6:N12" si="4">M6/2</f>
        <v>3.15</v>
      </c>
      <c r="O6" s="1">
        <f t="shared" ref="O6:O12" si="5">PI()*(N6^2)*L6</f>
        <v>257.17273811826897</v>
      </c>
      <c r="P6" s="1">
        <f t="shared" ref="P6:P12" si="6">E6/O6</f>
        <v>7.7768740755104343E-3</v>
      </c>
      <c r="Q6" s="1">
        <f t="shared" si="1"/>
        <v>128.58636905913448</v>
      </c>
      <c r="R6" s="5">
        <f t="shared" si="2"/>
        <v>2.1431061509855747</v>
      </c>
      <c r="S6" s="1" t="s">
        <v>7</v>
      </c>
      <c r="T6" s="1">
        <f t="shared" si="3"/>
        <v>0.12</v>
      </c>
    </row>
    <row r="7" spans="1:20" x14ac:dyDescent="0.2">
      <c r="A7" s="1">
        <v>6</v>
      </c>
      <c r="B7" s="1" t="s">
        <v>8</v>
      </c>
      <c r="C7" s="2">
        <v>45819</v>
      </c>
      <c r="D7" s="1">
        <v>1.5</v>
      </c>
      <c r="E7" s="4">
        <v>1</v>
      </c>
      <c r="F7" s="3">
        <v>0.38055555555555554</v>
      </c>
      <c r="G7" s="1" t="s">
        <v>43</v>
      </c>
      <c r="H7" s="1">
        <v>7.6</v>
      </c>
      <c r="I7" s="4">
        <v>7</v>
      </c>
      <c r="J7" s="1">
        <v>6.7</v>
      </c>
      <c r="K7" s="4">
        <v>8</v>
      </c>
      <c r="L7" s="1">
        <f t="shared" si="0"/>
        <v>7.3250000000000002</v>
      </c>
      <c r="M7" s="1">
        <v>6.3</v>
      </c>
      <c r="N7" s="1">
        <f t="shared" si="4"/>
        <v>3.15</v>
      </c>
      <c r="O7" s="1">
        <f t="shared" si="5"/>
        <v>228.33821899591757</v>
      </c>
      <c r="P7" s="1">
        <f t="shared" si="6"/>
        <v>4.3794683360382997E-3</v>
      </c>
      <c r="Q7" s="1">
        <f t="shared" si="1"/>
        <v>228.33821899591757</v>
      </c>
      <c r="R7" s="5">
        <f t="shared" si="2"/>
        <v>3.805636983265293</v>
      </c>
      <c r="S7" s="1" t="s">
        <v>8</v>
      </c>
      <c r="T7" s="1">
        <f t="shared" si="3"/>
        <v>0.06</v>
      </c>
    </row>
    <row r="8" spans="1:20" x14ac:dyDescent="0.2">
      <c r="A8" s="1">
        <v>7</v>
      </c>
      <c r="B8" s="1" t="s">
        <v>9</v>
      </c>
      <c r="C8" s="2">
        <v>45819</v>
      </c>
      <c r="D8" s="1">
        <v>1.5</v>
      </c>
      <c r="E8" s="4">
        <v>1.5</v>
      </c>
      <c r="F8" s="3">
        <v>0.38194444444444442</v>
      </c>
      <c r="G8" s="1" t="s">
        <v>43</v>
      </c>
      <c r="H8" s="1">
        <v>7.7</v>
      </c>
      <c r="I8" s="1">
        <v>8.1</v>
      </c>
      <c r="J8" s="1">
        <v>7.2</v>
      </c>
      <c r="K8" s="4">
        <v>7</v>
      </c>
      <c r="L8" s="1">
        <f t="shared" si="0"/>
        <v>7.5</v>
      </c>
      <c r="M8" s="1">
        <v>6.3</v>
      </c>
      <c r="N8" s="1">
        <f t="shared" si="4"/>
        <v>3.15</v>
      </c>
      <c r="O8" s="1">
        <f t="shared" si="5"/>
        <v>233.79339828933541</v>
      </c>
      <c r="P8" s="1">
        <f t="shared" si="6"/>
        <v>6.4159211122961088E-3</v>
      </c>
      <c r="Q8" s="1">
        <f t="shared" si="1"/>
        <v>155.86226552622361</v>
      </c>
      <c r="R8" s="5">
        <f t="shared" si="2"/>
        <v>2.59770442543706</v>
      </c>
      <c r="S8" s="1" t="s">
        <v>9</v>
      </c>
      <c r="T8" s="1">
        <f t="shared" si="3"/>
        <v>0.09</v>
      </c>
    </row>
    <row r="9" spans="1:20" x14ac:dyDescent="0.2">
      <c r="A9" s="1">
        <v>8</v>
      </c>
      <c r="B9" s="1" t="s">
        <v>10</v>
      </c>
      <c r="C9" s="2">
        <v>45819</v>
      </c>
      <c r="D9" s="1">
        <v>1.5</v>
      </c>
      <c r="E9" s="4">
        <v>0.7</v>
      </c>
      <c r="F9" s="3">
        <v>0.38333333333333336</v>
      </c>
      <c r="G9" s="1" t="s">
        <v>43</v>
      </c>
      <c r="H9" s="4">
        <v>10</v>
      </c>
      <c r="I9" s="1">
        <v>9.4</v>
      </c>
      <c r="J9" s="4">
        <v>9</v>
      </c>
      <c r="K9" s="1">
        <v>9.1</v>
      </c>
      <c r="L9" s="1">
        <f t="shared" si="0"/>
        <v>9.375</v>
      </c>
      <c r="M9" s="1">
        <v>6.3</v>
      </c>
      <c r="N9" s="1">
        <f t="shared" si="4"/>
        <v>3.15</v>
      </c>
      <c r="O9" s="1">
        <f t="shared" si="5"/>
        <v>292.24174786166924</v>
      </c>
      <c r="P9" s="1">
        <f t="shared" si="6"/>
        <v>2.3952772152572139E-3</v>
      </c>
      <c r="Q9" s="1">
        <f t="shared" si="1"/>
        <v>417.4882112309561</v>
      </c>
      <c r="R9" s="5">
        <f t="shared" si="2"/>
        <v>6.9581368538492683</v>
      </c>
      <c r="S9" s="1" t="s">
        <v>10</v>
      </c>
      <c r="T9" s="1">
        <f t="shared" si="3"/>
        <v>4.2000000000000003E-2</v>
      </c>
    </row>
    <row r="10" spans="1:20" x14ac:dyDescent="0.2">
      <c r="A10" s="1">
        <v>9</v>
      </c>
      <c r="B10" s="1" t="s">
        <v>11</v>
      </c>
      <c r="C10" s="2">
        <v>45819</v>
      </c>
      <c r="D10" s="1">
        <v>1.5</v>
      </c>
      <c r="E10" s="4">
        <v>1.1000000000000001</v>
      </c>
      <c r="F10" s="3">
        <v>0.38472222222222224</v>
      </c>
      <c r="G10" s="1" t="s">
        <v>43</v>
      </c>
      <c r="H10" s="1">
        <v>10.6</v>
      </c>
      <c r="I10" s="1">
        <v>10.5</v>
      </c>
      <c r="J10" s="1">
        <v>10.6</v>
      </c>
      <c r="K10" s="1">
        <v>10.6</v>
      </c>
      <c r="L10" s="1">
        <f t="shared" si="0"/>
        <v>10.575000000000001</v>
      </c>
      <c r="M10" s="1">
        <v>6.3</v>
      </c>
      <c r="N10" s="1">
        <f t="shared" si="4"/>
        <v>3.15</v>
      </c>
      <c r="O10" s="1">
        <f t="shared" si="5"/>
        <v>329.64869158796296</v>
      </c>
      <c r="P10" s="1">
        <f t="shared" si="6"/>
        <v>3.3368856848821371E-3</v>
      </c>
      <c r="Q10" s="1">
        <f t="shared" si="1"/>
        <v>299.68062871632992</v>
      </c>
      <c r="R10" s="5">
        <f t="shared" si="2"/>
        <v>4.9946771452721652</v>
      </c>
      <c r="S10" s="1" t="s">
        <v>11</v>
      </c>
      <c r="T10" s="1">
        <f t="shared" si="3"/>
        <v>6.6000000000000003E-2</v>
      </c>
    </row>
    <row r="11" spans="1:20" x14ac:dyDescent="0.2">
      <c r="A11" s="1">
        <v>10</v>
      </c>
      <c r="B11" s="1" t="s">
        <v>12</v>
      </c>
      <c r="C11" s="2">
        <v>45819</v>
      </c>
      <c r="D11" s="1">
        <v>1.5</v>
      </c>
      <c r="E11" s="4">
        <v>1.2</v>
      </c>
      <c r="F11" s="3">
        <v>0.38680555555555557</v>
      </c>
      <c r="G11" s="1" t="s">
        <v>43</v>
      </c>
      <c r="H11" s="1">
        <v>11.5</v>
      </c>
      <c r="I11" s="1">
        <v>11.7</v>
      </c>
      <c r="J11" s="1">
        <v>11.4</v>
      </c>
      <c r="K11" s="1">
        <v>11.3</v>
      </c>
      <c r="L11" s="1">
        <f t="shared" si="0"/>
        <v>11.475000000000001</v>
      </c>
      <c r="M11" s="1">
        <v>6.3</v>
      </c>
      <c r="N11" s="1">
        <f t="shared" si="4"/>
        <v>3.15</v>
      </c>
      <c r="O11" s="1">
        <f t="shared" si="5"/>
        <v>357.70389938268323</v>
      </c>
      <c r="P11" s="1">
        <f t="shared" si="6"/>
        <v>3.3547299933574417E-3</v>
      </c>
      <c r="Q11" s="1">
        <f t="shared" si="1"/>
        <v>298.08658281890268</v>
      </c>
      <c r="R11" s="5">
        <f t="shared" si="2"/>
        <v>4.9681097136483778</v>
      </c>
      <c r="S11" s="1" t="s">
        <v>12</v>
      </c>
      <c r="T11" s="1">
        <f t="shared" si="3"/>
        <v>7.1999999999999995E-2</v>
      </c>
    </row>
    <row r="12" spans="1:20" x14ac:dyDescent="0.2">
      <c r="A12" s="1">
        <v>11</v>
      </c>
      <c r="B12" s="1" t="s">
        <v>13</v>
      </c>
      <c r="C12" s="2">
        <v>45819</v>
      </c>
      <c r="D12" s="1">
        <v>1.5</v>
      </c>
      <c r="E12" s="4">
        <v>0.7</v>
      </c>
      <c r="F12" s="3">
        <v>0.38750000000000001</v>
      </c>
      <c r="G12" s="1" t="s">
        <v>43</v>
      </c>
      <c r="H12" s="1">
        <v>13.2</v>
      </c>
      <c r="I12" s="1">
        <v>12.7</v>
      </c>
      <c r="J12" s="1">
        <v>12.7</v>
      </c>
      <c r="K12" s="4">
        <v>13</v>
      </c>
      <c r="L12" s="1">
        <f t="shared" si="0"/>
        <v>12.899999999999999</v>
      </c>
      <c r="M12" s="1">
        <v>6.3</v>
      </c>
      <c r="N12" s="1">
        <f t="shared" si="4"/>
        <v>3.15</v>
      </c>
      <c r="O12" s="1">
        <f t="shared" si="5"/>
        <v>402.12464505765683</v>
      </c>
      <c r="P12" s="1">
        <f t="shared" si="6"/>
        <v>1.7407537901578591E-3</v>
      </c>
      <c r="Q12" s="1">
        <f t="shared" si="1"/>
        <v>574.46377865379554</v>
      </c>
      <c r="R12" s="5">
        <f t="shared" si="2"/>
        <v>9.5743963108965922</v>
      </c>
      <c r="S12" s="1" t="s">
        <v>13</v>
      </c>
      <c r="T12" s="1">
        <f t="shared" si="3"/>
        <v>4.2000000000000003E-2</v>
      </c>
    </row>
    <row r="13" spans="1:20" x14ac:dyDescent="0.2">
      <c r="A13" s="1">
        <v>12</v>
      </c>
      <c r="B13" s="1" t="s">
        <v>14</v>
      </c>
      <c r="C13" s="2">
        <v>45819</v>
      </c>
      <c r="D13" s="1">
        <v>1.5</v>
      </c>
      <c r="E13" s="4">
        <v>2.6</v>
      </c>
      <c r="F13" s="3">
        <v>0.3888888888888889</v>
      </c>
      <c r="G13" s="1" t="s">
        <v>43</v>
      </c>
      <c r="H13" s="1" t="s">
        <v>36</v>
      </c>
      <c r="I13" s="1" t="s">
        <v>36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>
        <v>0</v>
      </c>
      <c r="R13" s="5">
        <f t="shared" si="2"/>
        <v>0</v>
      </c>
      <c r="S13" s="1" t="s">
        <v>14</v>
      </c>
      <c r="T13" s="1">
        <f t="shared" si="3"/>
        <v>0.15600000000000003</v>
      </c>
    </row>
    <row r="14" spans="1:20" x14ac:dyDescent="0.2">
      <c r="A14" s="6"/>
      <c r="B14" s="6"/>
      <c r="C14" s="6"/>
      <c r="D14" s="6"/>
      <c r="E14" s="14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7"/>
      <c r="S14" s="6"/>
      <c r="T14" s="6"/>
    </row>
    <row r="15" spans="1:20" x14ac:dyDescent="0.2">
      <c r="A15" s="1">
        <v>1</v>
      </c>
      <c r="B15" s="1" t="s">
        <v>3</v>
      </c>
      <c r="C15" s="2">
        <v>45820</v>
      </c>
      <c r="D15" s="1">
        <v>1.8</v>
      </c>
      <c r="E15" s="4">
        <v>1</v>
      </c>
      <c r="F15" s="3">
        <v>0.30833333333333335</v>
      </c>
      <c r="G15" s="1" t="s">
        <v>44</v>
      </c>
      <c r="H15" s="1">
        <v>9.1999999999999993</v>
      </c>
      <c r="I15" s="4">
        <v>10</v>
      </c>
      <c r="J15" s="1">
        <v>9.1</v>
      </c>
      <c r="K15" s="4">
        <v>9</v>
      </c>
      <c r="L15" s="1">
        <f t="shared" si="0"/>
        <v>9.3249999999999993</v>
      </c>
      <c r="M15" s="1">
        <v>6.3</v>
      </c>
      <c r="N15" s="1">
        <f t="shared" ref="N15:N38" si="7">M15/2</f>
        <v>3.15</v>
      </c>
      <c r="O15" s="1">
        <f t="shared" ref="O15:O38" si="8">PI()*(N15^2)*L15</f>
        <v>290.683125206407</v>
      </c>
      <c r="P15" s="1">
        <f>E15/O15</f>
        <v>3.4401721781748577E-3</v>
      </c>
      <c r="Q15" s="1">
        <f t="shared" si="1"/>
        <v>290.683125206407</v>
      </c>
      <c r="R15" s="5">
        <f t="shared" si="2"/>
        <v>4.8447187534401168</v>
      </c>
      <c r="S15" s="1" t="s">
        <v>3</v>
      </c>
      <c r="T15" s="1">
        <f t="shared" si="3"/>
        <v>0.06</v>
      </c>
    </row>
    <row r="16" spans="1:20" x14ac:dyDescent="0.2">
      <c r="A16" s="1">
        <v>2</v>
      </c>
      <c r="B16" s="1" t="s">
        <v>4</v>
      </c>
      <c r="C16" s="2">
        <v>45820</v>
      </c>
      <c r="D16" s="1">
        <v>1.8</v>
      </c>
      <c r="E16" s="4">
        <v>2.1</v>
      </c>
      <c r="F16" s="3">
        <v>0.31111111111111112</v>
      </c>
      <c r="G16" s="1" t="s">
        <v>44</v>
      </c>
      <c r="H16" s="1">
        <v>9.4</v>
      </c>
      <c r="I16" s="1">
        <v>9.3000000000000007</v>
      </c>
      <c r="J16" s="1">
        <v>9.1999999999999993</v>
      </c>
      <c r="K16" s="1">
        <v>9.1</v>
      </c>
      <c r="L16" s="1">
        <f t="shared" si="0"/>
        <v>9.25</v>
      </c>
      <c r="M16" s="1">
        <v>6.3</v>
      </c>
      <c r="N16" s="1">
        <f t="shared" si="7"/>
        <v>3.15</v>
      </c>
      <c r="O16" s="1">
        <f t="shared" si="8"/>
        <v>288.34519122351367</v>
      </c>
      <c r="P16" s="1">
        <f>E16/O16</f>
        <v>7.2829374788226106E-3</v>
      </c>
      <c r="Q16" s="1">
        <f t="shared" si="1"/>
        <v>137.30723391595888</v>
      </c>
      <c r="R16" s="5">
        <f t="shared" si="2"/>
        <v>2.2884538985993146</v>
      </c>
      <c r="S16" s="1" t="s">
        <v>4</v>
      </c>
      <c r="T16" s="1">
        <f t="shared" si="3"/>
        <v>0.12600000000000003</v>
      </c>
    </row>
    <row r="17" spans="1:20" x14ac:dyDescent="0.2">
      <c r="A17" s="1">
        <v>3</v>
      </c>
      <c r="B17" s="1" t="s">
        <v>5</v>
      </c>
      <c r="C17" s="2">
        <v>45820</v>
      </c>
      <c r="D17" s="1">
        <v>1.8</v>
      </c>
      <c r="E17" s="4">
        <v>1</v>
      </c>
      <c r="F17" s="3">
        <v>0.31180555555555556</v>
      </c>
      <c r="G17" s="1" t="s">
        <v>44</v>
      </c>
      <c r="H17" s="1">
        <v>7.9</v>
      </c>
      <c r="I17" s="1">
        <v>8.1</v>
      </c>
      <c r="J17" s="1">
        <v>7.8</v>
      </c>
      <c r="K17" s="1">
        <v>7.7</v>
      </c>
      <c r="L17" s="1">
        <f t="shared" si="0"/>
        <v>7.875</v>
      </c>
      <c r="M17" s="1">
        <v>6.3</v>
      </c>
      <c r="N17" s="1">
        <f t="shared" si="7"/>
        <v>3.15</v>
      </c>
      <c r="O17" s="1">
        <f t="shared" si="8"/>
        <v>245.48306820380216</v>
      </c>
      <c r="P17" s="1">
        <f>E17/O17</f>
        <v>4.0736007062197521E-3</v>
      </c>
      <c r="Q17" s="1">
        <f t="shared" si="1"/>
        <v>245.48306820380216</v>
      </c>
      <c r="R17" s="5">
        <f t="shared" si="2"/>
        <v>4.0913844700633692</v>
      </c>
      <c r="S17" s="1" t="s">
        <v>5</v>
      </c>
      <c r="T17" s="1">
        <f t="shared" si="3"/>
        <v>0.06</v>
      </c>
    </row>
    <row r="18" spans="1:20" x14ac:dyDescent="0.2">
      <c r="A18" s="1">
        <v>4</v>
      </c>
      <c r="B18" s="1" t="s">
        <v>6</v>
      </c>
      <c r="C18" s="2">
        <v>45820</v>
      </c>
      <c r="D18" s="1">
        <v>1.8</v>
      </c>
      <c r="E18" s="4">
        <v>1</v>
      </c>
      <c r="F18" s="3">
        <v>0.31319444444444444</v>
      </c>
      <c r="G18" s="1" t="s">
        <v>44</v>
      </c>
      <c r="H18" s="1" t="s">
        <v>36</v>
      </c>
      <c r="I18" s="1" t="s">
        <v>36</v>
      </c>
      <c r="J18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>
        <v>0</v>
      </c>
      <c r="R18" s="5">
        <f t="shared" si="2"/>
        <v>0</v>
      </c>
      <c r="S18" s="1" t="s">
        <v>6</v>
      </c>
      <c r="T18" s="1">
        <f t="shared" si="3"/>
        <v>0.06</v>
      </c>
    </row>
    <row r="19" spans="1:20" x14ac:dyDescent="0.2">
      <c r="A19" s="1">
        <v>5</v>
      </c>
      <c r="B19" s="1" t="s">
        <v>7</v>
      </c>
      <c r="C19" s="2">
        <v>45820</v>
      </c>
      <c r="D19" s="1">
        <v>1.8</v>
      </c>
      <c r="E19" s="4">
        <v>1.5</v>
      </c>
      <c r="F19" s="3">
        <v>0.31388888888888888</v>
      </c>
      <c r="G19" s="1" t="s">
        <v>44</v>
      </c>
      <c r="H19" s="1">
        <v>9.4</v>
      </c>
      <c r="I19" s="1">
        <v>9.6</v>
      </c>
      <c r="J19" s="1">
        <v>6.3</v>
      </c>
      <c r="K19" s="1">
        <v>7.7</v>
      </c>
      <c r="L19" s="1">
        <f t="shared" si="0"/>
        <v>8.25</v>
      </c>
      <c r="M19" s="1">
        <v>6.3</v>
      </c>
      <c r="N19" s="1">
        <f t="shared" si="7"/>
        <v>3.15</v>
      </c>
      <c r="O19" s="1">
        <f t="shared" si="8"/>
        <v>257.17273811826897</v>
      </c>
      <c r="P19" s="1">
        <f t="shared" ref="P19:P25" si="9">E19/O19</f>
        <v>5.8326555566328257E-3</v>
      </c>
      <c r="Q19" s="1">
        <f t="shared" si="1"/>
        <v>171.44849207884599</v>
      </c>
      <c r="R19" s="5">
        <f t="shared" si="2"/>
        <v>2.8574748679807667</v>
      </c>
      <c r="S19" s="1" t="s">
        <v>7</v>
      </c>
      <c r="T19" s="1">
        <f t="shared" si="3"/>
        <v>0.09</v>
      </c>
    </row>
    <row r="20" spans="1:20" x14ac:dyDescent="0.2">
      <c r="A20" s="1">
        <v>6</v>
      </c>
      <c r="B20" s="1" t="s">
        <v>8</v>
      </c>
      <c r="C20" s="2">
        <v>45820</v>
      </c>
      <c r="D20" s="1">
        <v>1.8</v>
      </c>
      <c r="E20" s="4">
        <v>0.6</v>
      </c>
      <c r="F20" s="3">
        <v>0.31527777777777777</v>
      </c>
      <c r="G20" s="1" t="s">
        <v>44</v>
      </c>
      <c r="H20" s="1">
        <v>7.6</v>
      </c>
      <c r="I20" s="4">
        <v>7</v>
      </c>
      <c r="J20" s="1">
        <v>6.7</v>
      </c>
      <c r="K20" s="4">
        <v>8</v>
      </c>
      <c r="L20" s="1">
        <f t="shared" si="0"/>
        <v>7.3250000000000002</v>
      </c>
      <c r="M20" s="1">
        <v>6.3</v>
      </c>
      <c r="N20" s="1">
        <f t="shared" si="7"/>
        <v>3.15</v>
      </c>
      <c r="O20" s="1">
        <f t="shared" si="8"/>
        <v>228.33821899591757</v>
      </c>
      <c r="P20" s="1">
        <f t="shared" si="9"/>
        <v>2.6276810016229797E-3</v>
      </c>
      <c r="Q20" s="1">
        <f t="shared" si="1"/>
        <v>380.56369832652928</v>
      </c>
      <c r="R20" s="5">
        <f t="shared" si="2"/>
        <v>6.3427283054421544</v>
      </c>
      <c r="S20" s="1" t="s">
        <v>8</v>
      </c>
      <c r="T20" s="1">
        <f t="shared" si="3"/>
        <v>3.5999999999999997E-2</v>
      </c>
    </row>
    <row r="21" spans="1:20" x14ac:dyDescent="0.2">
      <c r="A21" s="1">
        <v>7</v>
      </c>
      <c r="B21" s="1" t="s">
        <v>9</v>
      </c>
      <c r="C21" s="2">
        <v>45820</v>
      </c>
      <c r="D21" s="1">
        <v>1.8</v>
      </c>
      <c r="E21" s="4">
        <v>1</v>
      </c>
      <c r="F21" s="3">
        <v>0.31666666666666665</v>
      </c>
      <c r="G21" s="1" t="s">
        <v>44</v>
      </c>
      <c r="H21" s="1">
        <v>7.7</v>
      </c>
      <c r="I21" s="1">
        <v>8.1</v>
      </c>
      <c r="J21" s="1">
        <v>7.2</v>
      </c>
      <c r="K21" s="4">
        <v>7</v>
      </c>
      <c r="L21" s="1">
        <f t="shared" si="0"/>
        <v>7.5</v>
      </c>
      <c r="M21" s="1">
        <v>6.3</v>
      </c>
      <c r="N21" s="1">
        <f t="shared" si="7"/>
        <v>3.15</v>
      </c>
      <c r="O21" s="1">
        <f t="shared" si="8"/>
        <v>233.79339828933541</v>
      </c>
      <c r="P21" s="1">
        <f t="shared" si="9"/>
        <v>4.2772807415307392E-3</v>
      </c>
      <c r="Q21" s="1">
        <f t="shared" si="1"/>
        <v>233.79339828933541</v>
      </c>
      <c r="R21" s="5">
        <f t="shared" si="2"/>
        <v>3.8965566381555901</v>
      </c>
      <c r="S21" s="1" t="s">
        <v>9</v>
      </c>
      <c r="T21" s="1">
        <f t="shared" si="3"/>
        <v>0.06</v>
      </c>
    </row>
    <row r="22" spans="1:20" x14ac:dyDescent="0.2">
      <c r="A22" s="1">
        <v>8</v>
      </c>
      <c r="B22" s="1" t="s">
        <v>10</v>
      </c>
      <c r="C22" s="2">
        <v>45820</v>
      </c>
      <c r="D22" s="1">
        <v>1.8</v>
      </c>
      <c r="E22" s="4">
        <v>0.7</v>
      </c>
      <c r="F22" s="3">
        <v>0.31736111111111109</v>
      </c>
      <c r="G22" s="1" t="s">
        <v>44</v>
      </c>
      <c r="H22" s="4">
        <v>10</v>
      </c>
      <c r="I22" s="1">
        <v>9.4</v>
      </c>
      <c r="J22" s="4">
        <v>9</v>
      </c>
      <c r="K22" s="1">
        <v>9.1</v>
      </c>
      <c r="L22" s="1">
        <f t="shared" si="0"/>
        <v>9.375</v>
      </c>
      <c r="M22" s="1">
        <v>6.3</v>
      </c>
      <c r="N22" s="1">
        <f t="shared" si="7"/>
        <v>3.15</v>
      </c>
      <c r="O22" s="1">
        <f t="shared" si="8"/>
        <v>292.24174786166924</v>
      </c>
      <c r="P22" s="1">
        <f t="shared" si="9"/>
        <v>2.3952772152572139E-3</v>
      </c>
      <c r="Q22" s="1">
        <f t="shared" si="1"/>
        <v>417.4882112309561</v>
      </c>
      <c r="R22" s="5">
        <f t="shared" si="2"/>
        <v>6.9581368538492683</v>
      </c>
      <c r="S22" s="1" t="s">
        <v>10</v>
      </c>
      <c r="T22" s="1">
        <f t="shared" si="3"/>
        <v>4.2000000000000003E-2</v>
      </c>
    </row>
    <row r="23" spans="1:20" x14ac:dyDescent="0.2">
      <c r="A23" s="1">
        <v>9</v>
      </c>
      <c r="B23" s="1" t="s">
        <v>11</v>
      </c>
      <c r="C23" s="2">
        <v>45820</v>
      </c>
      <c r="D23" s="1">
        <v>1.8</v>
      </c>
      <c r="E23" s="4">
        <v>1.2</v>
      </c>
      <c r="F23" s="3">
        <v>0.31874999999999998</v>
      </c>
      <c r="G23" s="1" t="s">
        <v>44</v>
      </c>
      <c r="H23" s="1">
        <v>10.6</v>
      </c>
      <c r="I23" s="1">
        <v>10.5</v>
      </c>
      <c r="J23" s="1">
        <v>10.6</v>
      </c>
      <c r="K23" s="1">
        <v>10.6</v>
      </c>
      <c r="L23" s="1">
        <f t="shared" si="0"/>
        <v>10.575000000000001</v>
      </c>
      <c r="M23" s="1">
        <v>6.3</v>
      </c>
      <c r="N23" s="1">
        <f t="shared" si="7"/>
        <v>3.15</v>
      </c>
      <c r="O23" s="1">
        <f t="shared" si="8"/>
        <v>329.64869158796296</v>
      </c>
      <c r="P23" s="1">
        <f t="shared" si="9"/>
        <v>3.6402389289623307E-3</v>
      </c>
      <c r="Q23" s="1">
        <f t="shared" si="1"/>
        <v>274.70724298996913</v>
      </c>
      <c r="R23" s="5">
        <f t="shared" si="2"/>
        <v>4.5784540498328186</v>
      </c>
      <c r="S23" s="1" t="s">
        <v>11</v>
      </c>
      <c r="T23" s="1">
        <f t="shared" si="3"/>
        <v>7.1999999999999995E-2</v>
      </c>
    </row>
    <row r="24" spans="1:20" x14ac:dyDescent="0.2">
      <c r="A24" s="1">
        <v>10</v>
      </c>
      <c r="B24" s="1" t="s">
        <v>12</v>
      </c>
      <c r="C24" s="2">
        <v>45820</v>
      </c>
      <c r="D24" s="1">
        <v>1.8</v>
      </c>
      <c r="E24" s="4">
        <v>0.7</v>
      </c>
      <c r="F24" s="3">
        <v>0.32013888888888886</v>
      </c>
      <c r="G24" s="1" t="s">
        <v>44</v>
      </c>
      <c r="H24" s="1">
        <v>11.5</v>
      </c>
      <c r="I24" s="1">
        <v>11.7</v>
      </c>
      <c r="J24" s="1">
        <v>11.4</v>
      </c>
      <c r="K24" s="1">
        <v>11.3</v>
      </c>
      <c r="L24" s="1">
        <f t="shared" si="0"/>
        <v>11.475000000000001</v>
      </c>
      <c r="M24" s="1">
        <v>6.3</v>
      </c>
      <c r="N24" s="1">
        <f t="shared" si="7"/>
        <v>3.15</v>
      </c>
      <c r="O24" s="1">
        <f t="shared" si="8"/>
        <v>357.70389938268323</v>
      </c>
      <c r="P24" s="1">
        <f t="shared" si="9"/>
        <v>1.9569258294585075E-3</v>
      </c>
      <c r="Q24" s="1">
        <f t="shared" si="1"/>
        <v>511.00557054669042</v>
      </c>
      <c r="R24" s="5">
        <f t="shared" si="2"/>
        <v>8.5167595091115071</v>
      </c>
      <c r="S24" s="1" t="s">
        <v>12</v>
      </c>
      <c r="T24" s="1">
        <f t="shared" si="3"/>
        <v>4.2000000000000003E-2</v>
      </c>
    </row>
    <row r="25" spans="1:20" x14ac:dyDescent="0.2">
      <c r="A25" s="1">
        <v>11</v>
      </c>
      <c r="B25" s="1" t="s">
        <v>13</v>
      </c>
      <c r="C25" s="2">
        <v>45820</v>
      </c>
      <c r="D25" s="1">
        <v>1.8</v>
      </c>
      <c r="E25" s="4">
        <v>0.6</v>
      </c>
      <c r="F25" s="3">
        <v>0.3215277777777778</v>
      </c>
      <c r="G25" s="1" t="s">
        <v>44</v>
      </c>
      <c r="H25" s="1">
        <v>13.2</v>
      </c>
      <c r="I25" s="1">
        <v>12.7</v>
      </c>
      <c r="J25" s="1">
        <v>12.7</v>
      </c>
      <c r="K25" s="4">
        <v>13</v>
      </c>
      <c r="L25" s="16">
        <f t="shared" si="0"/>
        <v>12.899999999999999</v>
      </c>
      <c r="M25" s="1">
        <v>6.3</v>
      </c>
      <c r="N25" s="1">
        <f t="shared" si="7"/>
        <v>3.15</v>
      </c>
      <c r="O25" s="16">
        <f t="shared" si="8"/>
        <v>402.12464505765683</v>
      </c>
      <c r="P25" s="1">
        <f t="shared" si="9"/>
        <v>1.4920746772781651E-3</v>
      </c>
      <c r="Q25" s="1">
        <f t="shared" si="1"/>
        <v>670.20774176276143</v>
      </c>
      <c r="R25" s="5">
        <f t="shared" si="2"/>
        <v>11.170129029379357</v>
      </c>
      <c r="S25" s="1" t="s">
        <v>13</v>
      </c>
      <c r="T25" s="1">
        <f t="shared" si="3"/>
        <v>3.5999999999999997E-2</v>
      </c>
    </row>
    <row r="26" spans="1:20" x14ac:dyDescent="0.2">
      <c r="A26" s="1">
        <v>12</v>
      </c>
      <c r="B26" s="1" t="s">
        <v>14</v>
      </c>
      <c r="C26" s="2">
        <v>45820</v>
      </c>
      <c r="D26" s="1">
        <v>1.8</v>
      </c>
      <c r="E26" s="4">
        <v>1.4</v>
      </c>
      <c r="F26" s="3">
        <v>0.32222222222222224</v>
      </c>
      <c r="G26" s="1" t="s">
        <v>44</v>
      </c>
      <c r="H26" s="1" t="s">
        <v>36</v>
      </c>
      <c r="I26" s="1" t="s">
        <v>36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>
        <v>0</v>
      </c>
      <c r="R26" s="5">
        <f t="shared" si="2"/>
        <v>0</v>
      </c>
      <c r="S26" s="1" t="s">
        <v>14</v>
      </c>
      <c r="T26" s="1">
        <f t="shared" si="3"/>
        <v>8.4000000000000005E-2</v>
      </c>
    </row>
    <row r="27" spans="1:20" x14ac:dyDescent="0.2">
      <c r="A27" s="6"/>
      <c r="B27" s="6"/>
      <c r="C27" s="6"/>
      <c r="D27" s="6"/>
      <c r="E27" s="1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7"/>
      <c r="S27" s="6"/>
      <c r="T27" s="6"/>
    </row>
    <row r="28" spans="1:20" x14ac:dyDescent="0.2">
      <c r="A28" s="1">
        <v>1</v>
      </c>
      <c r="B28" s="1" t="s">
        <v>3</v>
      </c>
      <c r="C28" s="2">
        <v>45820</v>
      </c>
      <c r="D28" s="1">
        <v>2.5</v>
      </c>
      <c r="E28" s="4">
        <v>1.1000000000000001</v>
      </c>
      <c r="F28" s="3">
        <v>0.60833333333333328</v>
      </c>
      <c r="G28" s="1" t="s">
        <v>45</v>
      </c>
      <c r="H28" s="1">
        <v>9.1999999999999993</v>
      </c>
      <c r="I28" s="4">
        <v>10</v>
      </c>
      <c r="J28" s="1">
        <v>9.1</v>
      </c>
      <c r="K28" s="4">
        <v>9</v>
      </c>
      <c r="L28" s="1">
        <f t="shared" si="0"/>
        <v>9.3249999999999993</v>
      </c>
      <c r="M28" s="1">
        <v>6.3</v>
      </c>
      <c r="N28" s="1">
        <f t="shared" si="7"/>
        <v>3.15</v>
      </c>
      <c r="O28" s="1">
        <f t="shared" si="8"/>
        <v>290.683125206407</v>
      </c>
      <c r="P28" s="1">
        <f>E28/O28</f>
        <v>3.7841893959923434E-3</v>
      </c>
      <c r="Q28" s="1">
        <f t="shared" si="1"/>
        <v>264.25738655127907</v>
      </c>
      <c r="R28" s="5">
        <f t="shared" si="2"/>
        <v>4.4042897758546511</v>
      </c>
      <c r="S28" s="1" t="s">
        <v>3</v>
      </c>
      <c r="T28" s="1">
        <f t="shared" si="3"/>
        <v>6.6000000000000003E-2</v>
      </c>
    </row>
    <row r="29" spans="1:20" x14ac:dyDescent="0.2">
      <c r="A29" s="1">
        <v>2</v>
      </c>
      <c r="B29" s="1" t="s">
        <v>4</v>
      </c>
      <c r="C29" s="2">
        <v>45820</v>
      </c>
      <c r="D29" s="1">
        <v>2.5</v>
      </c>
      <c r="E29" s="4">
        <v>1</v>
      </c>
      <c r="F29" s="3">
        <v>0.60902777777777772</v>
      </c>
      <c r="G29" s="1" t="s">
        <v>45</v>
      </c>
      <c r="H29" s="1">
        <v>9.4</v>
      </c>
      <c r="I29" s="1">
        <v>9.3000000000000007</v>
      </c>
      <c r="J29" s="1">
        <v>9.1999999999999993</v>
      </c>
      <c r="K29" s="1">
        <v>9.1</v>
      </c>
      <c r="L29" s="1">
        <f t="shared" si="0"/>
        <v>9.25</v>
      </c>
      <c r="M29" s="1">
        <v>6.3</v>
      </c>
      <c r="N29" s="1">
        <f t="shared" si="7"/>
        <v>3.15</v>
      </c>
      <c r="O29" s="1">
        <f t="shared" si="8"/>
        <v>288.34519122351367</v>
      </c>
      <c r="P29" s="1">
        <f>E29/O29</f>
        <v>3.4680654661060047E-3</v>
      </c>
      <c r="Q29" s="1">
        <f t="shared" si="1"/>
        <v>288.34519122351367</v>
      </c>
      <c r="R29" s="5">
        <f t="shared" si="2"/>
        <v>4.8057531870585608</v>
      </c>
      <c r="S29" s="1" t="s">
        <v>4</v>
      </c>
      <c r="T29" s="1">
        <f t="shared" si="3"/>
        <v>0.06</v>
      </c>
    </row>
    <row r="30" spans="1:20" x14ac:dyDescent="0.2">
      <c r="A30" s="1">
        <v>3</v>
      </c>
      <c r="B30" s="1" t="s">
        <v>5</v>
      </c>
      <c r="C30" s="2">
        <v>45820</v>
      </c>
      <c r="D30" s="1">
        <v>2.5</v>
      </c>
      <c r="E30" s="4">
        <v>1</v>
      </c>
      <c r="F30" s="3">
        <v>0.61041666666666672</v>
      </c>
      <c r="G30" s="1" t="s">
        <v>45</v>
      </c>
      <c r="H30" s="1">
        <v>7.9</v>
      </c>
      <c r="I30" s="1">
        <v>8.1</v>
      </c>
      <c r="J30" s="1">
        <v>7.8</v>
      </c>
      <c r="K30" s="1">
        <v>7.7</v>
      </c>
      <c r="L30" s="1">
        <f t="shared" si="0"/>
        <v>7.875</v>
      </c>
      <c r="M30" s="1">
        <v>6.3</v>
      </c>
      <c r="N30" s="1">
        <f t="shared" si="7"/>
        <v>3.15</v>
      </c>
      <c r="O30" s="1">
        <f t="shared" si="8"/>
        <v>245.48306820380216</v>
      </c>
      <c r="P30" s="1">
        <f>E30/O30</f>
        <v>4.0736007062197521E-3</v>
      </c>
      <c r="Q30" s="1">
        <f t="shared" si="1"/>
        <v>245.48306820380216</v>
      </c>
      <c r="R30" s="5">
        <f t="shared" si="2"/>
        <v>4.0913844700633692</v>
      </c>
      <c r="S30" s="1" t="s">
        <v>5</v>
      </c>
      <c r="T30" s="1">
        <f t="shared" si="3"/>
        <v>0.06</v>
      </c>
    </row>
    <row r="31" spans="1:20" x14ac:dyDescent="0.2">
      <c r="A31" s="1">
        <v>4</v>
      </c>
      <c r="B31" s="1" t="s">
        <v>6</v>
      </c>
      <c r="C31" s="2">
        <v>45820</v>
      </c>
      <c r="D31" s="1">
        <v>2.5</v>
      </c>
      <c r="E31" s="4">
        <v>1</v>
      </c>
      <c r="F31" s="3">
        <v>0.61111111111111116</v>
      </c>
      <c r="G31" s="1" t="s">
        <v>45</v>
      </c>
      <c r="H31" s="1" t="s">
        <v>36</v>
      </c>
      <c r="I31" s="1" t="s">
        <v>36</v>
      </c>
      <c r="J3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>
        <v>0</v>
      </c>
      <c r="R31" s="5">
        <f t="shared" si="2"/>
        <v>0</v>
      </c>
      <c r="S31" s="1" t="s">
        <v>6</v>
      </c>
      <c r="T31" s="1">
        <f t="shared" si="3"/>
        <v>0.06</v>
      </c>
    </row>
    <row r="32" spans="1:20" x14ac:dyDescent="0.2">
      <c r="A32" s="1">
        <v>5</v>
      </c>
      <c r="B32" s="1" t="s">
        <v>7</v>
      </c>
      <c r="C32" s="2">
        <v>45820</v>
      </c>
      <c r="D32" s="1">
        <v>2.5</v>
      </c>
      <c r="E32" s="4">
        <v>1.3</v>
      </c>
      <c r="F32" s="3">
        <v>0.61250000000000004</v>
      </c>
      <c r="G32" s="1" t="s">
        <v>45</v>
      </c>
      <c r="H32" s="1">
        <v>9.4</v>
      </c>
      <c r="I32" s="1">
        <v>9.6</v>
      </c>
      <c r="J32" s="1">
        <v>6.3</v>
      </c>
      <c r="K32" s="1">
        <v>7.7</v>
      </c>
      <c r="L32" s="1">
        <f t="shared" si="0"/>
        <v>8.25</v>
      </c>
      <c r="M32" s="1">
        <v>6.3</v>
      </c>
      <c r="N32" s="1">
        <f t="shared" si="7"/>
        <v>3.15</v>
      </c>
      <c r="O32" s="1">
        <f t="shared" si="8"/>
        <v>257.17273811826897</v>
      </c>
      <c r="P32" s="1">
        <f t="shared" ref="P32:P38" si="10">E32/O32</f>
        <v>5.0549681490817825E-3</v>
      </c>
      <c r="Q32" s="1">
        <f t="shared" si="1"/>
        <v>197.82518316789921</v>
      </c>
      <c r="R32" s="5">
        <f t="shared" si="2"/>
        <v>3.2970863861316535</v>
      </c>
      <c r="S32" s="1" t="s">
        <v>7</v>
      </c>
      <c r="T32" s="1">
        <f t="shared" si="3"/>
        <v>7.8000000000000014E-2</v>
      </c>
    </row>
    <row r="33" spans="1:20" x14ac:dyDescent="0.2">
      <c r="A33" s="1">
        <v>6</v>
      </c>
      <c r="B33" s="1" t="s">
        <v>8</v>
      </c>
      <c r="C33" s="2">
        <v>45820</v>
      </c>
      <c r="D33" s="1">
        <v>2.5</v>
      </c>
      <c r="E33" s="4">
        <v>1</v>
      </c>
      <c r="F33" s="3">
        <v>0.61319444444444449</v>
      </c>
      <c r="G33" s="1" t="s">
        <v>45</v>
      </c>
      <c r="H33" s="1">
        <v>7.6</v>
      </c>
      <c r="I33" s="4">
        <v>7</v>
      </c>
      <c r="J33" s="1">
        <v>6.7</v>
      </c>
      <c r="K33" s="4">
        <v>8</v>
      </c>
      <c r="L33" s="16">
        <f t="shared" si="0"/>
        <v>7.3250000000000002</v>
      </c>
      <c r="M33" s="1">
        <v>6.3</v>
      </c>
      <c r="N33" s="1">
        <f t="shared" si="7"/>
        <v>3.15</v>
      </c>
      <c r="O33" s="16">
        <f t="shared" si="8"/>
        <v>228.33821899591757</v>
      </c>
      <c r="P33" s="1">
        <f t="shared" si="10"/>
        <v>4.3794683360382997E-3</v>
      </c>
      <c r="Q33" s="1">
        <f t="shared" si="1"/>
        <v>228.33821899591757</v>
      </c>
      <c r="R33" s="5">
        <f t="shared" si="2"/>
        <v>3.805636983265293</v>
      </c>
      <c r="S33" s="1" t="s">
        <v>8</v>
      </c>
      <c r="T33" s="1">
        <f t="shared" si="3"/>
        <v>0.06</v>
      </c>
    </row>
    <row r="34" spans="1:20" x14ac:dyDescent="0.2">
      <c r="A34" s="1">
        <v>7</v>
      </c>
      <c r="B34" s="1" t="s">
        <v>9</v>
      </c>
      <c r="C34" s="2">
        <v>45820</v>
      </c>
      <c r="D34" s="1">
        <v>2.5</v>
      </c>
      <c r="E34" s="4">
        <v>1.1000000000000001</v>
      </c>
      <c r="F34" s="3">
        <v>0.61458333333333337</v>
      </c>
      <c r="G34" s="1" t="s">
        <v>45</v>
      </c>
      <c r="H34" s="1">
        <v>7.7</v>
      </c>
      <c r="I34" s="1">
        <v>8.1</v>
      </c>
      <c r="J34" s="1">
        <v>7.2</v>
      </c>
      <c r="K34" s="4">
        <v>7</v>
      </c>
      <c r="L34" s="1">
        <f t="shared" si="0"/>
        <v>7.5</v>
      </c>
      <c r="M34" s="1">
        <v>6.3</v>
      </c>
      <c r="N34" s="1">
        <f t="shared" si="7"/>
        <v>3.15</v>
      </c>
      <c r="O34" s="1">
        <f t="shared" si="8"/>
        <v>233.79339828933541</v>
      </c>
      <c r="P34" s="1">
        <f t="shared" si="10"/>
        <v>4.7050088156838131E-3</v>
      </c>
      <c r="Q34" s="1">
        <f t="shared" si="1"/>
        <v>212.53945299030491</v>
      </c>
      <c r="R34" s="5">
        <f t="shared" si="2"/>
        <v>3.5423242165050817</v>
      </c>
      <c r="S34" s="1" t="s">
        <v>9</v>
      </c>
      <c r="T34" s="1">
        <f t="shared" si="3"/>
        <v>6.6000000000000003E-2</v>
      </c>
    </row>
    <row r="35" spans="1:20" x14ac:dyDescent="0.2">
      <c r="A35" s="1">
        <v>8</v>
      </c>
      <c r="B35" s="1" t="s">
        <v>10</v>
      </c>
      <c r="C35" s="2">
        <v>45820</v>
      </c>
      <c r="D35" s="1">
        <v>2.5</v>
      </c>
      <c r="E35" s="4">
        <v>0.8</v>
      </c>
      <c r="F35" s="3">
        <v>0.61527777777777781</v>
      </c>
      <c r="G35" s="1" t="s">
        <v>45</v>
      </c>
      <c r="H35" s="4">
        <v>10</v>
      </c>
      <c r="I35" s="1">
        <v>9.4</v>
      </c>
      <c r="J35" s="4">
        <v>9</v>
      </c>
      <c r="K35" s="1">
        <v>9.1</v>
      </c>
      <c r="L35" s="1">
        <f t="shared" si="0"/>
        <v>9.375</v>
      </c>
      <c r="M35" s="1">
        <v>6.3</v>
      </c>
      <c r="N35" s="1">
        <f t="shared" si="7"/>
        <v>3.15</v>
      </c>
      <c r="O35" s="1">
        <f t="shared" si="8"/>
        <v>292.24174786166924</v>
      </c>
      <c r="P35" s="1">
        <f t="shared" si="10"/>
        <v>2.7374596745796736E-3</v>
      </c>
      <c r="Q35" s="1">
        <f t="shared" si="1"/>
        <v>365.30218482708648</v>
      </c>
      <c r="R35" s="5">
        <f t="shared" si="2"/>
        <v>6.088369747118108</v>
      </c>
      <c r="S35" s="1" t="s">
        <v>10</v>
      </c>
      <c r="T35" s="1">
        <f t="shared" si="3"/>
        <v>4.8000000000000001E-2</v>
      </c>
    </row>
    <row r="36" spans="1:20" x14ac:dyDescent="0.2">
      <c r="A36" s="1">
        <v>9</v>
      </c>
      <c r="B36" s="1" t="s">
        <v>11</v>
      </c>
      <c r="C36" s="2">
        <v>45820</v>
      </c>
      <c r="D36" s="1">
        <v>2.5</v>
      </c>
      <c r="E36" s="4">
        <v>1.2</v>
      </c>
      <c r="F36" s="3">
        <v>0.6166666666666667</v>
      </c>
      <c r="G36" s="1" t="s">
        <v>45</v>
      </c>
      <c r="H36" s="1">
        <v>10.6</v>
      </c>
      <c r="I36" s="1">
        <v>10.5</v>
      </c>
      <c r="J36" s="1">
        <v>10.6</v>
      </c>
      <c r="K36" s="1">
        <v>10.6</v>
      </c>
      <c r="L36" s="1">
        <f t="shared" si="0"/>
        <v>10.575000000000001</v>
      </c>
      <c r="M36" s="1">
        <v>6.3</v>
      </c>
      <c r="N36" s="1">
        <f t="shared" si="7"/>
        <v>3.15</v>
      </c>
      <c r="O36" s="1">
        <f t="shared" si="8"/>
        <v>329.64869158796296</v>
      </c>
      <c r="P36" s="1">
        <f t="shared" si="10"/>
        <v>3.6402389289623307E-3</v>
      </c>
      <c r="Q36" s="1">
        <f t="shared" si="1"/>
        <v>274.70724298996913</v>
      </c>
      <c r="R36" s="5">
        <f t="shared" si="2"/>
        <v>4.5784540498328186</v>
      </c>
      <c r="S36" s="1" t="s">
        <v>11</v>
      </c>
      <c r="T36" s="1">
        <f t="shared" si="3"/>
        <v>7.1999999999999995E-2</v>
      </c>
    </row>
    <row r="37" spans="1:20" x14ac:dyDescent="0.2">
      <c r="A37" s="1">
        <v>10</v>
      </c>
      <c r="B37" s="1" t="s">
        <v>12</v>
      </c>
      <c r="C37" s="2">
        <v>45820</v>
      </c>
      <c r="D37" s="1">
        <v>2.5</v>
      </c>
      <c r="E37" s="4">
        <v>1</v>
      </c>
      <c r="F37" s="3">
        <v>0.61736111111111114</v>
      </c>
      <c r="G37" s="1" t="s">
        <v>45</v>
      </c>
      <c r="H37" s="1">
        <v>11.5</v>
      </c>
      <c r="I37" s="1">
        <v>11.7</v>
      </c>
      <c r="J37" s="1">
        <v>11.4</v>
      </c>
      <c r="K37" s="1">
        <v>11.3</v>
      </c>
      <c r="L37" s="1">
        <f t="shared" si="0"/>
        <v>11.475000000000001</v>
      </c>
      <c r="M37" s="1">
        <v>6.3</v>
      </c>
      <c r="N37" s="1">
        <f t="shared" si="7"/>
        <v>3.15</v>
      </c>
      <c r="O37" s="1">
        <f t="shared" si="8"/>
        <v>357.70389938268323</v>
      </c>
      <c r="P37" s="1">
        <f t="shared" si="10"/>
        <v>2.7956083277978685E-3</v>
      </c>
      <c r="Q37" s="1">
        <f t="shared" si="1"/>
        <v>357.70389938268323</v>
      </c>
      <c r="R37" s="5">
        <f t="shared" si="2"/>
        <v>5.9617316563780536</v>
      </c>
      <c r="S37" s="1" t="s">
        <v>12</v>
      </c>
      <c r="T37" s="1">
        <f t="shared" si="3"/>
        <v>0.06</v>
      </c>
    </row>
    <row r="38" spans="1:20" x14ac:dyDescent="0.2">
      <c r="A38" s="1">
        <v>11</v>
      </c>
      <c r="B38" s="1" t="s">
        <v>13</v>
      </c>
      <c r="C38" s="2">
        <v>45820</v>
      </c>
      <c r="D38" s="1">
        <v>2.5</v>
      </c>
      <c r="E38" s="4">
        <v>0.7</v>
      </c>
      <c r="F38" s="3">
        <v>0.61875000000000002</v>
      </c>
      <c r="G38" s="1" t="s">
        <v>45</v>
      </c>
      <c r="H38" s="1">
        <v>13.2</v>
      </c>
      <c r="I38" s="1">
        <v>12.7</v>
      </c>
      <c r="J38" s="1">
        <v>12.7</v>
      </c>
      <c r="K38" s="4">
        <v>13</v>
      </c>
      <c r="L38" s="1">
        <f t="shared" si="0"/>
        <v>12.899999999999999</v>
      </c>
      <c r="M38" s="1">
        <v>6.3</v>
      </c>
      <c r="N38" s="1">
        <f t="shared" si="7"/>
        <v>3.15</v>
      </c>
      <c r="O38" s="1">
        <f t="shared" si="8"/>
        <v>402.12464505765683</v>
      </c>
      <c r="P38" s="1">
        <f t="shared" si="10"/>
        <v>1.7407537901578591E-3</v>
      </c>
      <c r="Q38" s="1">
        <f t="shared" si="1"/>
        <v>574.46377865379554</v>
      </c>
      <c r="R38" s="5">
        <f t="shared" si="2"/>
        <v>9.5743963108965922</v>
      </c>
      <c r="S38" s="1" t="s">
        <v>13</v>
      </c>
      <c r="T38" s="1">
        <f t="shared" si="3"/>
        <v>4.2000000000000003E-2</v>
      </c>
    </row>
    <row r="39" spans="1:20" x14ac:dyDescent="0.2">
      <c r="A39" s="1">
        <v>12</v>
      </c>
      <c r="B39" s="1" t="s">
        <v>14</v>
      </c>
      <c r="C39" s="2">
        <v>45820</v>
      </c>
      <c r="D39" s="1">
        <v>2.5</v>
      </c>
      <c r="E39" s="4">
        <v>0.7</v>
      </c>
      <c r="F39" s="3">
        <v>0.61944444444444446</v>
      </c>
      <c r="G39" s="1" t="s">
        <v>45</v>
      </c>
      <c r="H39" s="1" t="s">
        <v>36</v>
      </c>
      <c r="I39" s="1" t="s">
        <v>36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>
        <v>0</v>
      </c>
      <c r="R39" s="5">
        <f t="shared" si="2"/>
        <v>0</v>
      </c>
      <c r="S39" s="1" t="s">
        <v>14</v>
      </c>
      <c r="T39" s="1">
        <f t="shared" si="3"/>
        <v>4.2000000000000003E-2</v>
      </c>
    </row>
    <row r="40" spans="1:20" x14ac:dyDescent="0.2">
      <c r="A40" s="6"/>
      <c r="B40" s="6"/>
      <c r="C40" s="6"/>
      <c r="D40" s="6"/>
      <c r="E40" s="14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7"/>
      <c r="S40" s="6"/>
      <c r="T40" s="6"/>
    </row>
    <row r="41" spans="1:20" x14ac:dyDescent="0.2">
      <c r="A41" t="s">
        <v>58</v>
      </c>
      <c r="T41" s="13">
        <f>AVERAGE(T2:T13, T15:T26, T28:T39)</f>
        <v>6.6000000000000017E-2</v>
      </c>
    </row>
    <row r="42" spans="1:20" x14ac:dyDescent="0.2">
      <c r="A42" t="s">
        <v>59</v>
      </c>
      <c r="O42">
        <f>MAX(O2:O39)</f>
        <v>402.12464505765683</v>
      </c>
    </row>
    <row r="43" spans="1:20" x14ac:dyDescent="0.2">
      <c r="A43" t="s">
        <v>60</v>
      </c>
      <c r="O43">
        <f>MIN(O2:O39)</f>
        <v>228.33821899591757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D69C-A8E0-BC4E-A5A7-DAABE84415FA}">
  <dimension ref="A1:U94"/>
  <sheetViews>
    <sheetView tabSelected="1" topLeftCell="A4" zoomScale="150" zoomScaleNormal="150" workbookViewId="0">
      <selection activeCell="F93" sqref="F93"/>
    </sheetView>
  </sheetViews>
  <sheetFormatPr baseColWidth="10" defaultRowHeight="16" x14ac:dyDescent="0.2"/>
  <cols>
    <col min="1" max="1" width="11.83203125" bestFit="1" customWidth="1"/>
    <col min="2" max="2" width="5.33203125" bestFit="1" customWidth="1"/>
    <col min="3" max="3" width="13.33203125" bestFit="1" customWidth="1"/>
    <col min="4" max="4" width="7.5" bestFit="1" customWidth="1"/>
    <col min="5" max="5" width="12" bestFit="1" customWidth="1"/>
    <col min="6" max="6" width="18" bestFit="1" customWidth="1"/>
    <col min="7" max="7" width="5.6640625" bestFit="1" customWidth="1"/>
    <col min="8" max="8" width="17.1640625" bestFit="1" customWidth="1"/>
    <col min="9" max="9" width="25" bestFit="1" customWidth="1"/>
    <col min="10" max="12" width="11.6640625" bestFit="1" customWidth="1"/>
    <col min="13" max="14" width="17.1640625" bestFit="1" customWidth="1"/>
    <col min="15" max="15" width="14.83203125" bestFit="1" customWidth="1"/>
    <col min="16" max="16" width="18.33203125" bestFit="1" customWidth="1"/>
    <col min="17" max="17" width="19.6640625" bestFit="1" customWidth="1"/>
    <col min="18" max="18" width="23.33203125" bestFit="1" customWidth="1"/>
    <col min="19" max="19" width="22" bestFit="1" customWidth="1"/>
    <col min="20" max="21" width="13.33203125" bestFit="1" customWidth="1"/>
  </cols>
  <sheetData>
    <row r="1" spans="1:21" x14ac:dyDescent="0.2">
      <c r="A1" s="1" t="s">
        <v>1</v>
      </c>
      <c r="B1" s="1" t="s">
        <v>16</v>
      </c>
      <c r="C1" s="1" t="s">
        <v>0</v>
      </c>
      <c r="D1" s="1" t="s">
        <v>15</v>
      </c>
      <c r="E1" s="1" t="s">
        <v>48</v>
      </c>
      <c r="F1" s="1" t="s">
        <v>49</v>
      </c>
      <c r="G1" s="9" t="s">
        <v>2</v>
      </c>
      <c r="H1" s="1" t="s">
        <v>42</v>
      </c>
      <c r="I1" s="11" t="s">
        <v>50</v>
      </c>
      <c r="J1" s="1" t="s">
        <v>39</v>
      </c>
      <c r="K1" s="1" t="s">
        <v>40</v>
      </c>
      <c r="L1" s="1" t="s">
        <v>41</v>
      </c>
      <c r="M1" s="1" t="s">
        <v>51</v>
      </c>
      <c r="N1" s="1" t="s">
        <v>52</v>
      </c>
      <c r="O1" s="1" t="s">
        <v>53</v>
      </c>
      <c r="P1" s="1" t="s">
        <v>37</v>
      </c>
      <c r="Q1" s="1" t="s">
        <v>38</v>
      </c>
      <c r="R1" s="1" t="s">
        <v>54</v>
      </c>
      <c r="S1" s="1" t="s">
        <v>55</v>
      </c>
      <c r="T1" s="9" t="s">
        <v>0</v>
      </c>
      <c r="U1" s="1" t="s">
        <v>57</v>
      </c>
    </row>
    <row r="2" spans="1:21" x14ac:dyDescent="0.2">
      <c r="A2" s="1">
        <v>1</v>
      </c>
      <c r="B2" s="1" t="s">
        <v>17</v>
      </c>
      <c r="C2" s="1" t="s">
        <v>19</v>
      </c>
      <c r="D2" s="2">
        <v>45826</v>
      </c>
      <c r="E2" s="1">
        <v>2.7</v>
      </c>
      <c r="F2" s="4">
        <v>1</v>
      </c>
      <c r="G2" s="10">
        <v>0.36458333333333331</v>
      </c>
      <c r="H2" s="1" t="s">
        <v>46</v>
      </c>
      <c r="I2" s="11">
        <v>12.5</v>
      </c>
      <c r="J2" s="4">
        <v>11</v>
      </c>
      <c r="K2" s="1">
        <v>9.9</v>
      </c>
      <c r="L2" s="4">
        <v>10.1</v>
      </c>
      <c r="M2" s="1">
        <f>AVERAGE(I2:L2)</f>
        <v>10.875</v>
      </c>
      <c r="N2" s="1">
        <v>6.3</v>
      </c>
      <c r="O2" s="1">
        <f>N2/2</f>
        <v>3.15</v>
      </c>
      <c r="P2" s="1">
        <f>PI()*(O2^2)*M2</f>
        <v>339.00042751953634</v>
      </c>
      <c r="Q2" s="1">
        <f>F2/P2</f>
        <v>2.9498487872625786E-3</v>
      </c>
      <c r="R2" s="1">
        <f>1/Q2</f>
        <v>339.00042751953634</v>
      </c>
      <c r="S2" s="5">
        <f>R2/60</f>
        <v>5.6500071253256055</v>
      </c>
      <c r="T2" s="9" t="s">
        <v>19</v>
      </c>
      <c r="U2" s="15">
        <f>F2*(1/1000)*(60/1)</f>
        <v>0.06</v>
      </c>
    </row>
    <row r="3" spans="1:21" x14ac:dyDescent="0.2">
      <c r="A3" s="1">
        <v>2</v>
      </c>
      <c r="B3" s="1" t="s">
        <v>17</v>
      </c>
      <c r="C3" s="1" t="s">
        <v>20</v>
      </c>
      <c r="D3" s="2">
        <v>45826</v>
      </c>
      <c r="E3" s="1">
        <v>2.7</v>
      </c>
      <c r="F3" s="1">
        <v>1.4</v>
      </c>
      <c r="G3" s="10">
        <v>0.36458333333333331</v>
      </c>
      <c r="H3" s="1" t="s">
        <v>46</v>
      </c>
      <c r="I3" s="11">
        <v>11.6</v>
      </c>
      <c r="J3" s="1">
        <v>11.6</v>
      </c>
      <c r="K3" s="1">
        <v>11.2</v>
      </c>
      <c r="L3" s="1">
        <v>11.2</v>
      </c>
      <c r="M3" s="1">
        <f t="shared" ref="M3:M66" si="0">AVERAGE(I3:L3)</f>
        <v>11.399999999999999</v>
      </c>
      <c r="N3" s="1">
        <v>6.3</v>
      </c>
      <c r="O3" s="1">
        <f t="shared" ref="O3:O66" si="1">N3/2</f>
        <v>3.15</v>
      </c>
      <c r="P3" s="1">
        <f t="shared" ref="P3:P66" si="2">PI()*(O3^2)*M3</f>
        <v>355.36596539978979</v>
      </c>
      <c r="Q3" s="1">
        <f t="shared" ref="Q3:Q66" si="3">F3/P3</f>
        <v>3.9396006829888388E-3</v>
      </c>
      <c r="R3" s="1">
        <f t="shared" ref="R3:R66" si="4">1/Q3</f>
        <v>253.83283242842128</v>
      </c>
      <c r="S3" s="5">
        <f t="shared" ref="S3:S66" si="5">R3/60</f>
        <v>4.2305472071403551</v>
      </c>
      <c r="T3" s="9" t="s">
        <v>20</v>
      </c>
      <c r="U3" s="15">
        <f t="shared" ref="U3:U66" si="6">F3*(1/1000)*(60/1)</f>
        <v>8.4000000000000005E-2</v>
      </c>
    </row>
    <row r="4" spans="1:21" x14ac:dyDescent="0.2">
      <c r="A4" s="1">
        <v>3</v>
      </c>
      <c r="B4" s="1" t="s">
        <v>17</v>
      </c>
      <c r="C4" s="1" t="s">
        <v>21</v>
      </c>
      <c r="D4" s="2">
        <v>45826</v>
      </c>
      <c r="E4" s="1">
        <v>2.7</v>
      </c>
      <c r="F4" s="1">
        <v>2.4</v>
      </c>
      <c r="G4" s="10">
        <v>0.36458333333333331</v>
      </c>
      <c r="H4" s="1" t="s">
        <v>46</v>
      </c>
      <c r="I4" s="12">
        <v>10</v>
      </c>
      <c r="J4" s="1">
        <v>10.199999999999999</v>
      </c>
      <c r="K4" s="1">
        <v>10.9</v>
      </c>
      <c r="L4" s="1">
        <v>8.8000000000000007</v>
      </c>
      <c r="M4" s="1">
        <f t="shared" si="0"/>
        <v>9.9750000000000014</v>
      </c>
      <c r="N4" s="1">
        <v>6.3</v>
      </c>
      <c r="O4" s="1">
        <f t="shared" si="1"/>
        <v>3.15</v>
      </c>
      <c r="P4" s="1">
        <f t="shared" si="2"/>
        <v>310.94521972481613</v>
      </c>
      <c r="Q4" s="1">
        <f t="shared" si="3"/>
        <v>7.7184013381005811E-3</v>
      </c>
      <c r="R4" s="1">
        <f t="shared" si="4"/>
        <v>129.56050821867339</v>
      </c>
      <c r="S4" s="5">
        <f t="shared" si="5"/>
        <v>2.1593418036445566</v>
      </c>
      <c r="T4" s="9" t="s">
        <v>21</v>
      </c>
      <c r="U4" s="15">
        <f t="shared" si="6"/>
        <v>0.14399999999999999</v>
      </c>
    </row>
    <row r="5" spans="1:21" x14ac:dyDescent="0.2">
      <c r="A5" s="1">
        <v>4</v>
      </c>
      <c r="B5" s="1" t="s">
        <v>17</v>
      </c>
      <c r="C5" s="1" t="s">
        <v>22</v>
      </c>
      <c r="D5" s="2">
        <v>45826</v>
      </c>
      <c r="E5" s="1">
        <v>2.7</v>
      </c>
      <c r="F5" s="1">
        <v>3.8</v>
      </c>
      <c r="G5" s="10">
        <v>0.36458333333333331</v>
      </c>
      <c r="H5" s="1" t="s">
        <v>46</v>
      </c>
      <c r="I5" s="11">
        <v>10.8</v>
      </c>
      <c r="J5" s="1">
        <v>10.3</v>
      </c>
      <c r="K5" s="1">
        <v>10.1</v>
      </c>
      <c r="L5" s="4">
        <v>12</v>
      </c>
      <c r="M5" s="1">
        <f t="shared" si="0"/>
        <v>10.8</v>
      </c>
      <c r="N5" s="1">
        <v>6.3</v>
      </c>
      <c r="O5" s="1">
        <f t="shared" si="1"/>
        <v>3.15</v>
      </c>
      <c r="P5" s="1">
        <f t="shared" si="2"/>
        <v>336.66249353664301</v>
      </c>
      <c r="Q5" s="1">
        <f t="shared" si="3"/>
        <v>1.1287268623483894E-2</v>
      </c>
      <c r="R5" s="1">
        <f t="shared" si="4"/>
        <v>88.595393035958693</v>
      </c>
      <c r="S5" s="5">
        <f t="shared" si="5"/>
        <v>1.4765898839326448</v>
      </c>
      <c r="T5" s="9" t="s">
        <v>22</v>
      </c>
      <c r="U5" s="15">
        <f t="shared" si="6"/>
        <v>0.22800000000000001</v>
      </c>
    </row>
    <row r="6" spans="1:21" x14ac:dyDescent="0.2">
      <c r="A6" s="1">
        <v>5</v>
      </c>
      <c r="B6" s="1" t="s">
        <v>17</v>
      </c>
      <c r="C6" s="1" t="s">
        <v>23</v>
      </c>
      <c r="D6" s="2">
        <v>45826</v>
      </c>
      <c r="E6" s="1">
        <v>2.7</v>
      </c>
      <c r="F6" s="1">
        <v>3.1</v>
      </c>
      <c r="G6" s="10">
        <v>0.36458333333333331</v>
      </c>
      <c r="H6" s="1" t="s">
        <v>46</v>
      </c>
      <c r="I6" s="11">
        <v>15.1</v>
      </c>
      <c r="J6" s="1">
        <v>14.8</v>
      </c>
      <c r="K6" s="1">
        <v>14.4</v>
      </c>
      <c r="L6" s="1">
        <v>14.1</v>
      </c>
      <c r="M6" s="1">
        <f t="shared" si="0"/>
        <v>14.6</v>
      </c>
      <c r="N6" s="1">
        <v>6.3</v>
      </c>
      <c r="O6" s="1">
        <f t="shared" si="1"/>
        <v>3.15</v>
      </c>
      <c r="P6" s="1">
        <f t="shared" si="2"/>
        <v>455.1178153365729</v>
      </c>
      <c r="Q6" s="1">
        <f t="shared" si="3"/>
        <v>6.8114230986705271E-3</v>
      </c>
      <c r="R6" s="1">
        <f t="shared" si="4"/>
        <v>146.81219849566867</v>
      </c>
      <c r="S6" s="5">
        <f t="shared" si="5"/>
        <v>2.4468699749278113</v>
      </c>
      <c r="T6" s="9" t="s">
        <v>23</v>
      </c>
      <c r="U6" s="15">
        <f t="shared" si="6"/>
        <v>0.18600000000000003</v>
      </c>
    </row>
    <row r="7" spans="1:21" x14ac:dyDescent="0.2">
      <c r="A7" s="1">
        <v>6</v>
      </c>
      <c r="B7" s="1" t="s">
        <v>17</v>
      </c>
      <c r="C7" s="1" t="s">
        <v>24</v>
      </c>
      <c r="D7" s="2">
        <v>45826</v>
      </c>
      <c r="E7" s="1">
        <v>2.7</v>
      </c>
      <c r="F7" s="1">
        <v>1.5</v>
      </c>
      <c r="G7" s="10">
        <v>0.36458333333333331</v>
      </c>
      <c r="H7" s="1" t="s">
        <v>46</v>
      </c>
      <c r="I7" s="11">
        <v>13.6</v>
      </c>
      <c r="J7" s="1">
        <v>13.2</v>
      </c>
      <c r="K7" s="1">
        <v>13.1</v>
      </c>
      <c r="L7" s="1">
        <v>12.8</v>
      </c>
      <c r="M7" s="1">
        <f t="shared" si="0"/>
        <v>13.175000000000001</v>
      </c>
      <c r="N7" s="1">
        <v>6.3</v>
      </c>
      <c r="O7" s="1">
        <f t="shared" si="1"/>
        <v>3.15</v>
      </c>
      <c r="P7" s="1">
        <f t="shared" si="2"/>
        <v>410.69706966159919</v>
      </c>
      <c r="Q7" s="1">
        <f t="shared" si="3"/>
        <v>3.6523270088972158E-3</v>
      </c>
      <c r="R7" s="1">
        <f t="shared" si="4"/>
        <v>273.79804644106611</v>
      </c>
      <c r="S7" s="5">
        <f t="shared" si="5"/>
        <v>4.563300774017768</v>
      </c>
      <c r="T7" s="9" t="s">
        <v>24</v>
      </c>
      <c r="U7" s="15">
        <f t="shared" si="6"/>
        <v>0.09</v>
      </c>
    </row>
    <row r="8" spans="1:21" x14ac:dyDescent="0.2">
      <c r="A8" s="1">
        <v>7</v>
      </c>
      <c r="B8" s="1" t="s">
        <v>17</v>
      </c>
      <c r="C8" s="1" t="s">
        <v>31</v>
      </c>
      <c r="D8" s="2">
        <v>45826</v>
      </c>
      <c r="E8" s="1">
        <v>2.7</v>
      </c>
      <c r="F8" s="1">
        <v>0.7</v>
      </c>
      <c r="G8" s="10">
        <v>0.36458333333333331</v>
      </c>
      <c r="H8" s="1" t="s">
        <v>46</v>
      </c>
      <c r="I8" s="11" t="s">
        <v>36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>
        <v>0</v>
      </c>
      <c r="S8" s="5">
        <f t="shared" si="5"/>
        <v>0</v>
      </c>
      <c r="T8" s="9" t="s">
        <v>31</v>
      </c>
      <c r="U8" s="15">
        <f t="shared" si="6"/>
        <v>4.2000000000000003E-2</v>
      </c>
    </row>
    <row r="9" spans="1:21" x14ac:dyDescent="0.2">
      <c r="A9" s="1">
        <v>8</v>
      </c>
      <c r="B9" s="1" t="s">
        <v>17</v>
      </c>
      <c r="C9" s="1" t="s">
        <v>25</v>
      </c>
      <c r="D9" s="2">
        <v>45826</v>
      </c>
      <c r="E9" s="1">
        <v>2.7</v>
      </c>
      <c r="F9" s="1">
        <v>0.7</v>
      </c>
      <c r="G9" s="10">
        <v>0.36458333333333331</v>
      </c>
      <c r="H9" s="1" t="s">
        <v>46</v>
      </c>
      <c r="I9" s="11">
        <v>11.7</v>
      </c>
      <c r="J9" s="1">
        <v>11.2</v>
      </c>
      <c r="K9" s="4">
        <v>11</v>
      </c>
      <c r="L9" s="1">
        <v>11.9</v>
      </c>
      <c r="M9" s="1">
        <f t="shared" si="0"/>
        <v>11.45</v>
      </c>
      <c r="N9" s="1">
        <v>6.3</v>
      </c>
      <c r="O9" s="1">
        <f t="shared" si="1"/>
        <v>3.15</v>
      </c>
      <c r="P9" s="1">
        <f t="shared" si="2"/>
        <v>356.92458805505203</v>
      </c>
      <c r="Q9" s="1">
        <f t="shared" si="3"/>
        <v>1.9611985932782867E-3</v>
      </c>
      <c r="R9" s="1">
        <f t="shared" si="4"/>
        <v>509.8922686500743</v>
      </c>
      <c r="S9" s="5">
        <f t="shared" si="5"/>
        <v>8.498204477501238</v>
      </c>
      <c r="T9" s="9" t="s">
        <v>25</v>
      </c>
      <c r="U9" s="15">
        <f t="shared" si="6"/>
        <v>4.2000000000000003E-2</v>
      </c>
    </row>
    <row r="10" spans="1:21" x14ac:dyDescent="0.2">
      <c r="A10" s="1">
        <v>9</v>
      </c>
      <c r="B10" s="1" t="s">
        <v>17</v>
      </c>
      <c r="C10" s="1" t="s">
        <v>32</v>
      </c>
      <c r="D10" s="2">
        <v>45826</v>
      </c>
      <c r="E10" s="1">
        <v>2.7</v>
      </c>
      <c r="F10" s="1">
        <v>0.7</v>
      </c>
      <c r="G10" s="10">
        <v>0.36458333333333331</v>
      </c>
      <c r="H10" s="1" t="s">
        <v>46</v>
      </c>
      <c r="I10" s="11" t="s">
        <v>36</v>
      </c>
      <c r="J10" s="1" t="s">
        <v>36</v>
      </c>
      <c r="K10" s="1" t="s">
        <v>36</v>
      </c>
      <c r="L10" s="1" t="s">
        <v>36</v>
      </c>
      <c r="M10" s="1" t="s">
        <v>36</v>
      </c>
      <c r="N10" s="1">
        <v>6.3</v>
      </c>
      <c r="O10" s="1">
        <f t="shared" si="1"/>
        <v>3.15</v>
      </c>
      <c r="P10" s="1" t="s">
        <v>36</v>
      </c>
      <c r="Q10" s="1" t="s">
        <v>36</v>
      </c>
      <c r="R10" s="1">
        <v>0</v>
      </c>
      <c r="S10" s="5">
        <f t="shared" si="5"/>
        <v>0</v>
      </c>
      <c r="T10" s="9" t="s">
        <v>32</v>
      </c>
      <c r="U10" s="15">
        <f t="shared" si="6"/>
        <v>4.2000000000000003E-2</v>
      </c>
    </row>
    <row r="11" spans="1:21" x14ac:dyDescent="0.2">
      <c r="A11" s="1">
        <v>10</v>
      </c>
      <c r="B11" s="1" t="s">
        <v>18</v>
      </c>
      <c r="C11" s="1" t="s">
        <v>26</v>
      </c>
      <c r="D11" s="2">
        <v>45826</v>
      </c>
      <c r="E11" s="1">
        <v>2.7</v>
      </c>
      <c r="F11" s="1">
        <v>0.9</v>
      </c>
      <c r="G11" s="10">
        <v>0.36458333333333331</v>
      </c>
      <c r="H11" s="1" t="s">
        <v>46</v>
      </c>
      <c r="I11" s="11">
        <v>10.1</v>
      </c>
      <c r="J11" s="4">
        <v>10</v>
      </c>
      <c r="K11" s="1">
        <v>11.1</v>
      </c>
      <c r="L11" s="1">
        <v>9.9</v>
      </c>
      <c r="M11" s="1">
        <f t="shared" si="0"/>
        <v>10.275</v>
      </c>
      <c r="N11" s="1">
        <v>6.3</v>
      </c>
      <c r="O11" s="1">
        <f t="shared" si="1"/>
        <v>3.15</v>
      </c>
      <c r="P11" s="1">
        <f t="shared" si="2"/>
        <v>320.29695565638951</v>
      </c>
      <c r="Q11" s="1">
        <f t="shared" si="3"/>
        <v>2.8098924579399017E-3</v>
      </c>
      <c r="R11" s="1">
        <f t="shared" si="4"/>
        <v>355.88550628487724</v>
      </c>
      <c r="S11" s="5">
        <f t="shared" si="5"/>
        <v>5.9314251047479543</v>
      </c>
      <c r="T11" s="9" t="s">
        <v>26</v>
      </c>
      <c r="U11" s="15">
        <f t="shared" si="6"/>
        <v>5.4000000000000006E-2</v>
      </c>
    </row>
    <row r="12" spans="1:21" x14ac:dyDescent="0.2">
      <c r="A12" s="1">
        <v>11</v>
      </c>
      <c r="B12" s="1" t="s">
        <v>18</v>
      </c>
      <c r="C12" s="1" t="s">
        <v>27</v>
      </c>
      <c r="D12" s="2">
        <v>45826</v>
      </c>
      <c r="E12" s="1">
        <v>2.7</v>
      </c>
      <c r="F12" s="1">
        <v>1.4</v>
      </c>
      <c r="G12" s="10">
        <v>0.36458333333333331</v>
      </c>
      <c r="H12" s="1" t="s">
        <v>46</v>
      </c>
      <c r="I12" s="11">
        <v>11.6</v>
      </c>
      <c r="J12" s="1">
        <v>11.6</v>
      </c>
      <c r="K12" s="1">
        <v>11.5</v>
      </c>
      <c r="L12" s="1">
        <v>10.9</v>
      </c>
      <c r="M12" s="1">
        <f t="shared" si="0"/>
        <v>11.4</v>
      </c>
      <c r="N12" s="1">
        <v>6.3</v>
      </c>
      <c r="O12" s="1">
        <f t="shared" si="1"/>
        <v>3.15</v>
      </c>
      <c r="P12" s="1">
        <f t="shared" si="2"/>
        <v>355.36596539978984</v>
      </c>
      <c r="Q12" s="1">
        <f t="shared" si="3"/>
        <v>3.9396006829888379E-3</v>
      </c>
      <c r="R12" s="1">
        <f t="shared" si="4"/>
        <v>253.83283242842134</v>
      </c>
      <c r="S12" s="5">
        <f t="shared" si="5"/>
        <v>4.230547207140356</v>
      </c>
      <c r="T12" s="9" t="s">
        <v>27</v>
      </c>
      <c r="U12" s="15">
        <f t="shared" si="6"/>
        <v>8.4000000000000005E-2</v>
      </c>
    </row>
    <row r="13" spans="1:21" x14ac:dyDescent="0.2">
      <c r="A13" s="1">
        <v>12</v>
      </c>
      <c r="B13" s="1" t="s">
        <v>18</v>
      </c>
      <c r="C13" s="1" t="s">
        <v>28</v>
      </c>
      <c r="D13" s="2">
        <v>45826</v>
      </c>
      <c r="E13" s="1">
        <v>2.7</v>
      </c>
      <c r="F13" s="4">
        <v>1</v>
      </c>
      <c r="G13" s="10">
        <v>0.36458333333333331</v>
      </c>
      <c r="H13" s="1" t="s">
        <v>46</v>
      </c>
      <c r="I13" s="12">
        <v>12</v>
      </c>
      <c r="J13" s="1">
        <v>11.7</v>
      </c>
      <c r="K13" s="1">
        <v>11.6</v>
      </c>
      <c r="L13" s="1">
        <v>11.8</v>
      </c>
      <c r="M13" s="1">
        <f t="shared" si="0"/>
        <v>11.774999999999999</v>
      </c>
      <c r="N13" s="1">
        <v>6.3</v>
      </c>
      <c r="O13" s="1">
        <f t="shared" si="1"/>
        <v>3.15</v>
      </c>
      <c r="P13" s="1">
        <f t="shared" si="2"/>
        <v>367.05563531425656</v>
      </c>
      <c r="Q13" s="1">
        <f t="shared" si="3"/>
        <v>2.7243826379176684E-3</v>
      </c>
      <c r="R13" s="1">
        <f t="shared" si="4"/>
        <v>367.05563531425656</v>
      </c>
      <c r="S13" s="5">
        <f t="shared" si="5"/>
        <v>6.1175939219042759</v>
      </c>
      <c r="T13" s="9" t="s">
        <v>28</v>
      </c>
      <c r="U13" s="15">
        <f t="shared" si="6"/>
        <v>0.06</v>
      </c>
    </row>
    <row r="14" spans="1:21" x14ac:dyDescent="0.2">
      <c r="A14" s="1">
        <v>13</v>
      </c>
      <c r="B14" s="1" t="s">
        <v>18</v>
      </c>
      <c r="C14" s="1" t="s">
        <v>33</v>
      </c>
      <c r="D14" s="2">
        <v>45826</v>
      </c>
      <c r="E14" s="1">
        <v>2.7</v>
      </c>
      <c r="F14" s="1">
        <v>0.7</v>
      </c>
      <c r="G14" s="10">
        <v>0.36458333333333331</v>
      </c>
      <c r="H14" s="1" t="s">
        <v>46</v>
      </c>
      <c r="I14" s="1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>
        <v>0</v>
      </c>
      <c r="S14" s="5">
        <f t="shared" si="5"/>
        <v>0</v>
      </c>
      <c r="T14" s="9" t="s">
        <v>33</v>
      </c>
      <c r="U14" s="15">
        <f t="shared" si="6"/>
        <v>4.2000000000000003E-2</v>
      </c>
    </row>
    <row r="15" spans="1:21" x14ac:dyDescent="0.2">
      <c r="A15" s="1">
        <v>14</v>
      </c>
      <c r="B15" s="1" t="s">
        <v>18</v>
      </c>
      <c r="C15" s="1" t="s">
        <v>34</v>
      </c>
      <c r="D15" s="2">
        <v>45826</v>
      </c>
      <c r="E15" s="1">
        <v>2.7</v>
      </c>
      <c r="F15" s="1">
        <v>2.4</v>
      </c>
      <c r="G15" s="10">
        <v>0.36458333333333331</v>
      </c>
      <c r="H15" s="1" t="s">
        <v>46</v>
      </c>
      <c r="I15" s="11" t="s">
        <v>36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>
        <v>0</v>
      </c>
      <c r="S15" s="5">
        <f t="shared" si="5"/>
        <v>0</v>
      </c>
      <c r="T15" s="9" t="s">
        <v>34</v>
      </c>
      <c r="U15" s="15">
        <f t="shared" si="6"/>
        <v>0.14399999999999999</v>
      </c>
    </row>
    <row r="16" spans="1:21" x14ac:dyDescent="0.2">
      <c r="A16" s="1">
        <v>15</v>
      </c>
      <c r="B16" s="1" t="s">
        <v>18</v>
      </c>
      <c r="C16" s="1" t="s">
        <v>29</v>
      </c>
      <c r="D16" s="2">
        <v>45826</v>
      </c>
      <c r="E16" s="1">
        <v>2.7</v>
      </c>
      <c r="F16" s="1">
        <v>0.8</v>
      </c>
      <c r="G16" s="10">
        <v>0.36458333333333331</v>
      </c>
      <c r="H16" s="1" t="s">
        <v>46</v>
      </c>
      <c r="I16" s="11">
        <v>11.2</v>
      </c>
      <c r="J16" s="1">
        <v>10.7</v>
      </c>
      <c r="K16" s="1">
        <v>10.4</v>
      </c>
      <c r="L16" s="1">
        <v>9.6999999999999993</v>
      </c>
      <c r="M16" s="1">
        <f t="shared" si="0"/>
        <v>10.5</v>
      </c>
      <c r="N16" s="1">
        <v>6.3</v>
      </c>
      <c r="O16" s="1">
        <f t="shared" si="1"/>
        <v>3.15</v>
      </c>
      <c r="P16" s="1">
        <f t="shared" si="2"/>
        <v>327.31075760506957</v>
      </c>
      <c r="Q16" s="1">
        <f t="shared" si="3"/>
        <v>2.4441604237318512E-3</v>
      </c>
      <c r="R16" s="1">
        <f t="shared" si="4"/>
        <v>409.13844700633695</v>
      </c>
      <c r="S16" s="5">
        <f t="shared" si="5"/>
        <v>6.8189741167722824</v>
      </c>
      <c r="T16" s="9" t="s">
        <v>29</v>
      </c>
      <c r="U16" s="15">
        <f t="shared" si="6"/>
        <v>4.8000000000000001E-2</v>
      </c>
    </row>
    <row r="17" spans="1:21" x14ac:dyDescent="0.2">
      <c r="A17" s="1">
        <v>16</v>
      </c>
      <c r="B17" s="1" t="s">
        <v>18</v>
      </c>
      <c r="C17" s="1" t="s">
        <v>30</v>
      </c>
      <c r="D17" s="2">
        <v>45826</v>
      </c>
      <c r="E17" s="1">
        <v>2.7</v>
      </c>
      <c r="F17" s="1">
        <v>0.7</v>
      </c>
      <c r="G17" s="10">
        <v>0.36458333333333331</v>
      </c>
      <c r="H17" s="1" t="s">
        <v>46</v>
      </c>
      <c r="I17" s="11">
        <v>11.7</v>
      </c>
      <c r="J17" s="1">
        <v>11.3</v>
      </c>
      <c r="K17" s="4">
        <v>12</v>
      </c>
      <c r="L17" s="1">
        <v>12.3</v>
      </c>
      <c r="M17" s="1">
        <f t="shared" si="0"/>
        <v>11.824999999999999</v>
      </c>
      <c r="N17" s="1">
        <v>6.3</v>
      </c>
      <c r="O17" s="1">
        <f t="shared" si="1"/>
        <v>3.15</v>
      </c>
      <c r="P17" s="1">
        <f t="shared" si="2"/>
        <v>368.6142579695188</v>
      </c>
      <c r="Q17" s="1">
        <f t="shared" si="3"/>
        <v>1.8990041347176643E-3</v>
      </c>
      <c r="R17" s="1">
        <f t="shared" si="4"/>
        <v>526.59179709931266</v>
      </c>
      <c r="S17" s="5">
        <f t="shared" si="5"/>
        <v>8.7765299516552115</v>
      </c>
      <c r="T17" s="9" t="s">
        <v>30</v>
      </c>
      <c r="U17" s="15">
        <f t="shared" si="6"/>
        <v>4.2000000000000003E-2</v>
      </c>
    </row>
    <row r="18" spans="1:21" x14ac:dyDescent="0.2">
      <c r="A18" s="1">
        <v>17</v>
      </c>
      <c r="B18" s="1" t="s">
        <v>18</v>
      </c>
      <c r="C18" s="1" t="s">
        <v>35</v>
      </c>
      <c r="D18" s="2">
        <v>45826</v>
      </c>
      <c r="E18" s="1">
        <v>2.7</v>
      </c>
      <c r="F18" s="1">
        <v>0.7</v>
      </c>
      <c r="G18" s="10">
        <v>0.36458333333333331</v>
      </c>
      <c r="H18" s="1" t="s">
        <v>46</v>
      </c>
      <c r="I18" s="11" t="s">
        <v>36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>
        <v>0</v>
      </c>
      <c r="S18" s="5">
        <f t="shared" si="5"/>
        <v>0</v>
      </c>
      <c r="T18" s="9" t="s">
        <v>35</v>
      </c>
      <c r="U18" s="15">
        <f t="shared" si="6"/>
        <v>4.2000000000000003E-2</v>
      </c>
    </row>
    <row r="19" spans="1:21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6"/>
      <c r="N19" s="6"/>
      <c r="O19" s="6"/>
      <c r="P19" s="6"/>
      <c r="Q19" s="6"/>
      <c r="R19" s="6"/>
      <c r="S19" s="7"/>
      <c r="T19" s="8"/>
      <c r="U19" s="8"/>
    </row>
    <row r="20" spans="1:21" x14ac:dyDescent="0.2">
      <c r="A20" s="1">
        <v>1</v>
      </c>
      <c r="B20" s="1" t="s">
        <v>17</v>
      </c>
      <c r="C20" s="1" t="s">
        <v>19</v>
      </c>
      <c r="D20" s="2">
        <v>45826</v>
      </c>
      <c r="E20" s="1">
        <v>2.7</v>
      </c>
      <c r="F20" s="1">
        <v>1.2</v>
      </c>
      <c r="G20" s="10">
        <v>0.64375000000000004</v>
      </c>
      <c r="H20" s="1" t="s">
        <v>43</v>
      </c>
      <c r="I20" s="11">
        <v>12.5</v>
      </c>
      <c r="J20" s="4">
        <v>11</v>
      </c>
      <c r="K20" s="1">
        <v>9.9</v>
      </c>
      <c r="L20" s="4">
        <v>10.1</v>
      </c>
      <c r="M20" s="1">
        <f t="shared" si="0"/>
        <v>10.875</v>
      </c>
      <c r="N20" s="1">
        <v>6.3</v>
      </c>
      <c r="O20" s="1">
        <f t="shared" si="1"/>
        <v>3.15</v>
      </c>
      <c r="P20" s="1">
        <f t="shared" si="2"/>
        <v>339.00042751953634</v>
      </c>
      <c r="Q20" s="1">
        <f t="shared" si="3"/>
        <v>3.5398185447150943E-3</v>
      </c>
      <c r="R20" s="1">
        <f t="shared" si="4"/>
        <v>282.50035626628028</v>
      </c>
      <c r="S20" s="5">
        <f t="shared" si="5"/>
        <v>4.7083392711046717</v>
      </c>
      <c r="T20" s="9" t="s">
        <v>19</v>
      </c>
      <c r="U20" s="1">
        <f t="shared" si="6"/>
        <v>7.1999999999999995E-2</v>
      </c>
    </row>
    <row r="21" spans="1:21" x14ac:dyDescent="0.2">
      <c r="A21" s="1">
        <v>2</v>
      </c>
      <c r="B21" s="1" t="s">
        <v>17</v>
      </c>
      <c r="C21" s="1" t="s">
        <v>20</v>
      </c>
      <c r="D21" s="2">
        <v>45826</v>
      </c>
      <c r="E21" s="1">
        <v>2.7</v>
      </c>
      <c r="F21" s="4">
        <v>1</v>
      </c>
      <c r="G21" s="10">
        <v>0.64375000000000004</v>
      </c>
      <c r="H21" s="1" t="s">
        <v>43</v>
      </c>
      <c r="I21" s="11">
        <v>11.6</v>
      </c>
      <c r="J21" s="1">
        <v>11.6</v>
      </c>
      <c r="K21" s="1">
        <v>11.2</v>
      </c>
      <c r="L21" s="1">
        <v>11.2</v>
      </c>
      <c r="M21" s="1">
        <f t="shared" si="0"/>
        <v>11.399999999999999</v>
      </c>
      <c r="N21" s="1">
        <v>6.3</v>
      </c>
      <c r="O21" s="1">
        <f t="shared" si="1"/>
        <v>3.15</v>
      </c>
      <c r="P21" s="1">
        <f t="shared" si="2"/>
        <v>355.36596539978979</v>
      </c>
      <c r="Q21" s="1">
        <f t="shared" si="3"/>
        <v>2.8140004878491709E-3</v>
      </c>
      <c r="R21" s="1">
        <f t="shared" si="4"/>
        <v>355.36596539978979</v>
      </c>
      <c r="S21" s="5">
        <f t="shared" si="5"/>
        <v>5.9227660899964967</v>
      </c>
      <c r="T21" s="9" t="s">
        <v>20</v>
      </c>
      <c r="U21" s="1">
        <f t="shared" si="6"/>
        <v>0.06</v>
      </c>
    </row>
    <row r="22" spans="1:21" x14ac:dyDescent="0.2">
      <c r="A22" s="1">
        <v>3</v>
      </c>
      <c r="B22" s="1" t="s">
        <v>17</v>
      </c>
      <c r="C22" s="1" t="s">
        <v>21</v>
      </c>
      <c r="D22" s="2">
        <v>45826</v>
      </c>
      <c r="E22" s="1">
        <v>2.7</v>
      </c>
      <c r="F22" s="1">
        <v>1.7</v>
      </c>
      <c r="G22" s="10">
        <v>0.64375000000000004</v>
      </c>
      <c r="H22" s="1" t="s">
        <v>43</v>
      </c>
      <c r="I22" s="12">
        <v>10</v>
      </c>
      <c r="J22" s="1">
        <v>10.199999999999999</v>
      </c>
      <c r="K22" s="1">
        <v>10.9</v>
      </c>
      <c r="L22" s="1">
        <v>8.8000000000000007</v>
      </c>
      <c r="M22" s="1">
        <f t="shared" si="0"/>
        <v>9.9750000000000014</v>
      </c>
      <c r="N22" s="1">
        <v>6.3</v>
      </c>
      <c r="O22" s="1">
        <f t="shared" si="1"/>
        <v>3.15</v>
      </c>
      <c r="P22" s="1">
        <f t="shared" si="2"/>
        <v>310.94521972481613</v>
      </c>
      <c r="Q22" s="1">
        <f t="shared" si="3"/>
        <v>5.4672009478212444E-3</v>
      </c>
      <c r="R22" s="1">
        <f t="shared" si="4"/>
        <v>182.90895277930363</v>
      </c>
      <c r="S22" s="5">
        <f t="shared" si="5"/>
        <v>3.0484825463217273</v>
      </c>
      <c r="T22" s="9" t="s">
        <v>21</v>
      </c>
      <c r="U22" s="1">
        <f t="shared" si="6"/>
        <v>0.10199999999999999</v>
      </c>
    </row>
    <row r="23" spans="1:21" x14ac:dyDescent="0.2">
      <c r="A23" s="1">
        <v>4</v>
      </c>
      <c r="B23" s="1" t="s">
        <v>17</v>
      </c>
      <c r="C23" s="1" t="s">
        <v>22</v>
      </c>
      <c r="D23" s="2">
        <v>45826</v>
      </c>
      <c r="E23" s="1">
        <v>2.7</v>
      </c>
      <c r="F23" s="1">
        <v>1.6</v>
      </c>
      <c r="G23" s="10">
        <v>0.64375000000000004</v>
      </c>
      <c r="H23" s="1" t="s">
        <v>43</v>
      </c>
      <c r="I23" s="11">
        <v>10.8</v>
      </c>
      <c r="J23" s="1">
        <v>10.3</v>
      </c>
      <c r="K23" s="1">
        <v>10.1</v>
      </c>
      <c r="L23" s="4">
        <v>12</v>
      </c>
      <c r="M23" s="1">
        <f t="shared" si="0"/>
        <v>10.8</v>
      </c>
      <c r="N23" s="1">
        <v>6.3</v>
      </c>
      <c r="O23" s="1">
        <f t="shared" si="1"/>
        <v>3.15</v>
      </c>
      <c r="P23" s="1">
        <f t="shared" si="2"/>
        <v>336.66249353664301</v>
      </c>
      <c r="Q23" s="1">
        <f t="shared" si="3"/>
        <v>4.7525341572563764E-3</v>
      </c>
      <c r="R23" s="1">
        <f t="shared" si="4"/>
        <v>210.41405846040189</v>
      </c>
      <c r="S23" s="5">
        <f t="shared" si="5"/>
        <v>3.5069009743400317</v>
      </c>
      <c r="T23" s="9" t="s">
        <v>22</v>
      </c>
      <c r="U23" s="1">
        <f t="shared" si="6"/>
        <v>9.6000000000000002E-2</v>
      </c>
    </row>
    <row r="24" spans="1:21" x14ac:dyDescent="0.2">
      <c r="A24" s="1">
        <v>5</v>
      </c>
      <c r="B24" s="1" t="s">
        <v>17</v>
      </c>
      <c r="C24" s="1" t="s">
        <v>23</v>
      </c>
      <c r="D24" s="2">
        <v>45826</v>
      </c>
      <c r="E24" s="1">
        <v>2.7</v>
      </c>
      <c r="F24" s="1">
        <v>0.9</v>
      </c>
      <c r="G24" s="10">
        <v>0.64375000000000004</v>
      </c>
      <c r="H24" s="1" t="s">
        <v>43</v>
      </c>
      <c r="I24" s="11">
        <v>15.1</v>
      </c>
      <c r="J24" s="1">
        <v>14.8</v>
      </c>
      <c r="K24" s="1">
        <v>14.4</v>
      </c>
      <c r="L24" s="1">
        <v>14.1</v>
      </c>
      <c r="M24" s="1">
        <f t="shared" si="0"/>
        <v>14.6</v>
      </c>
      <c r="N24" s="1">
        <v>6.3</v>
      </c>
      <c r="O24" s="1">
        <f t="shared" si="1"/>
        <v>3.15</v>
      </c>
      <c r="P24" s="1">
        <f t="shared" si="2"/>
        <v>455.1178153365729</v>
      </c>
      <c r="Q24" s="1">
        <f t="shared" si="3"/>
        <v>1.9775099318720883E-3</v>
      </c>
      <c r="R24" s="1">
        <f t="shared" si="4"/>
        <v>505.68646148508105</v>
      </c>
      <c r="S24" s="5">
        <f t="shared" si="5"/>
        <v>8.4281076914180169</v>
      </c>
      <c r="T24" s="9" t="s">
        <v>23</v>
      </c>
      <c r="U24" s="1">
        <f t="shared" si="6"/>
        <v>5.4000000000000006E-2</v>
      </c>
    </row>
    <row r="25" spans="1:21" x14ac:dyDescent="0.2">
      <c r="A25" s="1">
        <v>6</v>
      </c>
      <c r="B25" s="1" t="s">
        <v>17</v>
      </c>
      <c r="C25" s="1" t="s">
        <v>24</v>
      </c>
      <c r="D25" s="2">
        <v>45826</v>
      </c>
      <c r="E25" s="1">
        <v>2.7</v>
      </c>
      <c r="F25" s="1">
        <v>0.9</v>
      </c>
      <c r="G25" s="10">
        <v>0.64375000000000004</v>
      </c>
      <c r="H25" s="1" t="s">
        <v>43</v>
      </c>
      <c r="I25" s="11">
        <v>13.6</v>
      </c>
      <c r="J25" s="1">
        <v>13.2</v>
      </c>
      <c r="K25" s="1">
        <v>13.1</v>
      </c>
      <c r="L25" s="1">
        <v>12.8</v>
      </c>
      <c r="M25" s="1">
        <f t="shared" si="0"/>
        <v>13.175000000000001</v>
      </c>
      <c r="N25" s="1">
        <v>6.3</v>
      </c>
      <c r="O25" s="1">
        <f t="shared" si="1"/>
        <v>3.15</v>
      </c>
      <c r="P25" s="1">
        <f t="shared" si="2"/>
        <v>410.69706966159919</v>
      </c>
      <c r="Q25" s="1">
        <f t="shared" si="3"/>
        <v>2.1913962053383296E-3</v>
      </c>
      <c r="R25" s="1">
        <f t="shared" si="4"/>
        <v>456.3300774017768</v>
      </c>
      <c r="S25" s="5">
        <f t="shared" si="5"/>
        <v>7.6055012900296131</v>
      </c>
      <c r="T25" s="9" t="s">
        <v>24</v>
      </c>
      <c r="U25" s="1">
        <f t="shared" si="6"/>
        <v>5.4000000000000006E-2</v>
      </c>
    </row>
    <row r="26" spans="1:21" x14ac:dyDescent="0.2">
      <c r="A26" s="1">
        <v>7</v>
      </c>
      <c r="B26" s="1" t="s">
        <v>17</v>
      </c>
      <c r="C26" s="1" t="s">
        <v>31</v>
      </c>
      <c r="D26" s="2">
        <v>45826</v>
      </c>
      <c r="E26" s="1">
        <v>2.7</v>
      </c>
      <c r="F26" s="1">
        <v>0.5</v>
      </c>
      <c r="G26" s="10">
        <v>0.64375000000000004</v>
      </c>
      <c r="H26" s="1" t="s">
        <v>43</v>
      </c>
      <c r="I26" s="11" t="s">
        <v>36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>
        <v>0</v>
      </c>
      <c r="S26" s="5">
        <f t="shared" si="5"/>
        <v>0</v>
      </c>
      <c r="T26" s="9" t="s">
        <v>31</v>
      </c>
      <c r="U26" s="1">
        <f t="shared" si="6"/>
        <v>0.03</v>
      </c>
    </row>
    <row r="27" spans="1:21" x14ac:dyDescent="0.2">
      <c r="A27" s="1">
        <v>8</v>
      </c>
      <c r="B27" s="1" t="s">
        <v>17</v>
      </c>
      <c r="C27" s="1" t="s">
        <v>25</v>
      </c>
      <c r="D27" s="2">
        <v>45826</v>
      </c>
      <c r="E27" s="1">
        <v>2.7</v>
      </c>
      <c r="F27" s="1">
        <v>0.7</v>
      </c>
      <c r="G27" s="10">
        <v>0.64375000000000004</v>
      </c>
      <c r="H27" s="1" t="s">
        <v>43</v>
      </c>
      <c r="I27" s="11">
        <v>11.7</v>
      </c>
      <c r="J27" s="1">
        <v>11.2</v>
      </c>
      <c r="K27" s="4">
        <v>11</v>
      </c>
      <c r="L27" s="1">
        <v>11.9</v>
      </c>
      <c r="M27" s="1">
        <f t="shared" si="0"/>
        <v>11.45</v>
      </c>
      <c r="N27" s="1">
        <v>6.3</v>
      </c>
      <c r="O27" s="1">
        <f t="shared" si="1"/>
        <v>3.15</v>
      </c>
      <c r="P27" s="1">
        <f t="shared" si="2"/>
        <v>356.92458805505203</v>
      </c>
      <c r="Q27" s="1">
        <f t="shared" si="3"/>
        <v>1.9611985932782867E-3</v>
      </c>
      <c r="R27" s="1">
        <f t="shared" si="4"/>
        <v>509.8922686500743</v>
      </c>
      <c r="S27" s="5">
        <f t="shared" si="5"/>
        <v>8.498204477501238</v>
      </c>
      <c r="T27" s="9" t="s">
        <v>25</v>
      </c>
      <c r="U27" s="1">
        <f t="shared" si="6"/>
        <v>4.2000000000000003E-2</v>
      </c>
    </row>
    <row r="28" spans="1:21" x14ac:dyDescent="0.2">
      <c r="A28" s="1">
        <v>9</v>
      </c>
      <c r="B28" s="1" t="s">
        <v>17</v>
      </c>
      <c r="C28" s="1" t="s">
        <v>32</v>
      </c>
      <c r="D28" s="2">
        <v>45826</v>
      </c>
      <c r="E28" s="1">
        <v>2.7</v>
      </c>
      <c r="F28" s="1">
        <v>0.7</v>
      </c>
      <c r="G28" s="10">
        <v>0.64375000000000004</v>
      </c>
      <c r="H28" s="1" t="s">
        <v>43</v>
      </c>
      <c r="I28" s="11" t="s">
        <v>36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>
        <v>0</v>
      </c>
      <c r="S28" s="5">
        <f t="shared" si="5"/>
        <v>0</v>
      </c>
      <c r="T28" s="9" t="s">
        <v>32</v>
      </c>
      <c r="U28" s="1">
        <f t="shared" si="6"/>
        <v>4.2000000000000003E-2</v>
      </c>
    </row>
    <row r="29" spans="1:21" x14ac:dyDescent="0.2">
      <c r="A29" s="1">
        <v>10</v>
      </c>
      <c r="B29" s="1" t="s">
        <v>18</v>
      </c>
      <c r="C29" s="1" t="s">
        <v>26</v>
      </c>
      <c r="D29" s="2">
        <v>45826</v>
      </c>
      <c r="E29" s="1">
        <v>2.7</v>
      </c>
      <c r="F29" s="1">
        <v>1.8</v>
      </c>
      <c r="G29" s="10">
        <v>0.64375000000000004</v>
      </c>
      <c r="H29" s="1" t="s">
        <v>43</v>
      </c>
      <c r="I29" s="11">
        <v>10.1</v>
      </c>
      <c r="J29" s="4">
        <v>10</v>
      </c>
      <c r="K29" s="1">
        <v>11.1</v>
      </c>
      <c r="L29" s="1">
        <v>9.9</v>
      </c>
      <c r="M29" s="1">
        <f t="shared" si="0"/>
        <v>10.275</v>
      </c>
      <c r="N29" s="1">
        <v>6.3</v>
      </c>
      <c r="O29" s="1">
        <f t="shared" si="1"/>
        <v>3.15</v>
      </c>
      <c r="P29" s="1">
        <f t="shared" si="2"/>
        <v>320.29695565638951</v>
      </c>
      <c r="Q29" s="1">
        <f t="shared" si="3"/>
        <v>5.6197849158798035E-3</v>
      </c>
      <c r="R29" s="1">
        <f t="shared" si="4"/>
        <v>177.94275314243862</v>
      </c>
      <c r="S29" s="5">
        <f t="shared" si="5"/>
        <v>2.9657125523739771</v>
      </c>
      <c r="T29" s="9" t="s">
        <v>26</v>
      </c>
      <c r="U29" s="1">
        <f t="shared" si="6"/>
        <v>0.10800000000000001</v>
      </c>
    </row>
    <row r="30" spans="1:21" x14ac:dyDescent="0.2">
      <c r="A30" s="1">
        <v>11</v>
      </c>
      <c r="B30" s="1" t="s">
        <v>18</v>
      </c>
      <c r="C30" s="1" t="s">
        <v>27</v>
      </c>
      <c r="D30" s="2">
        <v>45826</v>
      </c>
      <c r="E30" s="1">
        <v>2.7</v>
      </c>
      <c r="F30" s="1">
        <v>0.9</v>
      </c>
      <c r="G30" s="10">
        <v>0.64375000000000004</v>
      </c>
      <c r="H30" s="1" t="s">
        <v>43</v>
      </c>
      <c r="I30" s="11">
        <v>11.6</v>
      </c>
      <c r="J30" s="1">
        <v>11.6</v>
      </c>
      <c r="K30" s="1">
        <v>11.5</v>
      </c>
      <c r="L30" s="1">
        <v>10.9</v>
      </c>
      <c r="M30" s="1">
        <f t="shared" si="0"/>
        <v>11.4</v>
      </c>
      <c r="N30" s="1">
        <v>6.3</v>
      </c>
      <c r="O30" s="1">
        <f t="shared" si="1"/>
        <v>3.15</v>
      </c>
      <c r="P30" s="1">
        <f t="shared" si="2"/>
        <v>355.36596539978984</v>
      </c>
      <c r="Q30" s="1">
        <f t="shared" si="3"/>
        <v>2.5326004390642531E-3</v>
      </c>
      <c r="R30" s="1">
        <f t="shared" si="4"/>
        <v>394.8510726664332</v>
      </c>
      <c r="S30" s="5">
        <f t="shared" si="5"/>
        <v>6.5808512111072197</v>
      </c>
      <c r="T30" s="9" t="s">
        <v>27</v>
      </c>
      <c r="U30" s="1">
        <f t="shared" si="6"/>
        <v>5.4000000000000006E-2</v>
      </c>
    </row>
    <row r="31" spans="1:21" x14ac:dyDescent="0.2">
      <c r="A31" s="1">
        <v>12</v>
      </c>
      <c r="B31" s="1" t="s">
        <v>18</v>
      </c>
      <c r="C31" s="1" t="s">
        <v>28</v>
      </c>
      <c r="D31" s="2">
        <v>45826</v>
      </c>
      <c r="E31" s="1">
        <v>2.7</v>
      </c>
      <c r="F31" s="1">
        <v>0.8</v>
      </c>
      <c r="G31" s="10">
        <v>0.64375000000000004</v>
      </c>
      <c r="H31" s="1" t="s">
        <v>43</v>
      </c>
      <c r="I31" s="12">
        <v>12</v>
      </c>
      <c r="J31" s="1">
        <v>11.7</v>
      </c>
      <c r="K31" s="1">
        <v>11.6</v>
      </c>
      <c r="L31" s="1">
        <v>11.8</v>
      </c>
      <c r="M31" s="1">
        <f t="shared" si="0"/>
        <v>11.774999999999999</v>
      </c>
      <c r="N31" s="1">
        <v>6.3</v>
      </c>
      <c r="O31" s="1">
        <f t="shared" si="1"/>
        <v>3.15</v>
      </c>
      <c r="P31" s="1">
        <f t="shared" si="2"/>
        <v>367.05563531425656</v>
      </c>
      <c r="Q31" s="1">
        <f t="shared" si="3"/>
        <v>2.1795061103341349E-3</v>
      </c>
      <c r="R31" s="1">
        <f t="shared" si="4"/>
        <v>458.81954414282069</v>
      </c>
      <c r="S31" s="5">
        <f t="shared" si="5"/>
        <v>7.6469924023803451</v>
      </c>
      <c r="T31" s="9" t="s">
        <v>28</v>
      </c>
      <c r="U31" s="1">
        <f t="shared" si="6"/>
        <v>4.8000000000000001E-2</v>
      </c>
    </row>
    <row r="32" spans="1:21" x14ac:dyDescent="0.2">
      <c r="A32" s="1">
        <v>13</v>
      </c>
      <c r="B32" s="1" t="s">
        <v>18</v>
      </c>
      <c r="C32" s="1" t="s">
        <v>33</v>
      </c>
      <c r="D32" s="2">
        <v>45826</v>
      </c>
      <c r="E32" s="1">
        <v>2.7</v>
      </c>
      <c r="F32" s="1">
        <v>0.5</v>
      </c>
      <c r="G32" s="10">
        <v>0.64375000000000004</v>
      </c>
      <c r="H32" s="1" t="s">
        <v>43</v>
      </c>
      <c r="I32" s="11" t="s">
        <v>36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>
        <v>0</v>
      </c>
      <c r="S32" s="5">
        <f t="shared" si="5"/>
        <v>0</v>
      </c>
      <c r="T32" s="9" t="s">
        <v>33</v>
      </c>
      <c r="U32" s="1">
        <f t="shared" si="6"/>
        <v>0.03</v>
      </c>
    </row>
    <row r="33" spans="1:21" x14ac:dyDescent="0.2">
      <c r="A33" s="1">
        <v>14</v>
      </c>
      <c r="B33" s="1" t="s">
        <v>18</v>
      </c>
      <c r="C33" s="1" t="s">
        <v>34</v>
      </c>
      <c r="D33" s="2">
        <v>45826</v>
      </c>
      <c r="E33" s="1">
        <v>2.7</v>
      </c>
      <c r="F33" s="1">
        <v>2.5</v>
      </c>
      <c r="G33" s="10">
        <v>0.64375000000000004</v>
      </c>
      <c r="H33" s="1" t="s">
        <v>43</v>
      </c>
      <c r="I33" s="11" t="s">
        <v>36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>
        <v>0</v>
      </c>
      <c r="S33" s="5">
        <f t="shared" si="5"/>
        <v>0</v>
      </c>
      <c r="T33" s="9" t="s">
        <v>34</v>
      </c>
      <c r="U33" s="1">
        <f t="shared" si="6"/>
        <v>0.15</v>
      </c>
    </row>
    <row r="34" spans="1:21" x14ac:dyDescent="0.2">
      <c r="A34" s="1">
        <v>15</v>
      </c>
      <c r="B34" s="1" t="s">
        <v>18</v>
      </c>
      <c r="C34" s="1" t="s">
        <v>29</v>
      </c>
      <c r="D34" s="2">
        <v>45826</v>
      </c>
      <c r="E34" s="1">
        <v>2.7</v>
      </c>
      <c r="F34" s="1">
        <v>0.9</v>
      </c>
      <c r="G34" s="10">
        <v>0.64375000000000004</v>
      </c>
      <c r="H34" s="1" t="s">
        <v>43</v>
      </c>
      <c r="I34" s="11">
        <v>11.2</v>
      </c>
      <c r="J34" s="1">
        <v>10.7</v>
      </c>
      <c r="K34" s="1">
        <v>10.4</v>
      </c>
      <c r="L34" s="1">
        <v>9.6999999999999993</v>
      </c>
      <c r="M34" s="1">
        <f t="shared" si="0"/>
        <v>10.5</v>
      </c>
      <c r="N34" s="1">
        <v>6.3</v>
      </c>
      <c r="O34" s="1">
        <f t="shared" si="1"/>
        <v>3.15</v>
      </c>
      <c r="P34" s="1">
        <f t="shared" si="2"/>
        <v>327.31075760506957</v>
      </c>
      <c r="Q34" s="1">
        <f t="shared" si="3"/>
        <v>2.7496804766983323E-3</v>
      </c>
      <c r="R34" s="1">
        <f t="shared" si="4"/>
        <v>363.67861956118844</v>
      </c>
      <c r="S34" s="5">
        <f t="shared" si="5"/>
        <v>6.0613103260198073</v>
      </c>
      <c r="T34" s="9" t="s">
        <v>29</v>
      </c>
      <c r="U34" s="1">
        <f t="shared" si="6"/>
        <v>5.4000000000000006E-2</v>
      </c>
    </row>
    <row r="35" spans="1:21" x14ac:dyDescent="0.2">
      <c r="A35" s="1">
        <v>16</v>
      </c>
      <c r="B35" s="1" t="s">
        <v>18</v>
      </c>
      <c r="C35" s="1" t="s">
        <v>30</v>
      </c>
      <c r="D35" s="2">
        <v>45826</v>
      </c>
      <c r="E35" s="1">
        <v>2.7</v>
      </c>
      <c r="F35" s="1">
        <v>0.6</v>
      </c>
      <c r="G35" s="10">
        <v>0.64375000000000004</v>
      </c>
      <c r="H35" s="1" t="s">
        <v>43</v>
      </c>
      <c r="I35" s="11">
        <v>11.7</v>
      </c>
      <c r="J35" s="1">
        <v>11.3</v>
      </c>
      <c r="K35" s="4">
        <v>12</v>
      </c>
      <c r="L35" s="1">
        <v>12.3</v>
      </c>
      <c r="M35" s="1">
        <f t="shared" si="0"/>
        <v>11.824999999999999</v>
      </c>
      <c r="N35" s="1">
        <v>6.3</v>
      </c>
      <c r="O35" s="1">
        <f t="shared" si="1"/>
        <v>3.15</v>
      </c>
      <c r="P35" s="1">
        <f t="shared" si="2"/>
        <v>368.6142579695188</v>
      </c>
      <c r="Q35" s="1">
        <f t="shared" si="3"/>
        <v>1.6277178297579981E-3</v>
      </c>
      <c r="R35" s="1">
        <f t="shared" si="4"/>
        <v>614.35709661586463</v>
      </c>
      <c r="S35" s="5">
        <f t="shared" si="5"/>
        <v>10.239284943597744</v>
      </c>
      <c r="T35" s="9" t="s">
        <v>30</v>
      </c>
      <c r="U35" s="1">
        <f t="shared" si="6"/>
        <v>3.5999999999999997E-2</v>
      </c>
    </row>
    <row r="36" spans="1:21" x14ac:dyDescent="0.2">
      <c r="A36" s="1">
        <v>17</v>
      </c>
      <c r="B36" s="1" t="s">
        <v>18</v>
      </c>
      <c r="C36" s="1" t="s">
        <v>35</v>
      </c>
      <c r="D36" s="2">
        <v>45826</v>
      </c>
      <c r="E36" s="1">
        <v>2.7</v>
      </c>
      <c r="F36" s="1">
        <v>0.5</v>
      </c>
      <c r="G36" s="10">
        <v>0.64375000000000004</v>
      </c>
      <c r="H36" s="1" t="s">
        <v>43</v>
      </c>
      <c r="I36" s="11" t="s">
        <v>36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36</v>
      </c>
      <c r="R36" s="1">
        <v>0</v>
      </c>
      <c r="S36" s="5">
        <f t="shared" si="5"/>
        <v>0</v>
      </c>
      <c r="T36" s="9" t="s">
        <v>35</v>
      </c>
      <c r="U36" s="1">
        <f t="shared" si="6"/>
        <v>0.03</v>
      </c>
    </row>
    <row r="37" spans="1:2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6"/>
      <c r="N37" s="6"/>
      <c r="O37" s="6"/>
      <c r="P37" s="6"/>
      <c r="Q37" s="6"/>
      <c r="R37" s="6"/>
      <c r="S37" s="7"/>
      <c r="T37" s="8"/>
      <c r="U37" s="8"/>
    </row>
    <row r="38" spans="1:21" x14ac:dyDescent="0.2">
      <c r="A38" s="1">
        <v>1</v>
      </c>
      <c r="B38" s="1" t="s">
        <v>17</v>
      </c>
      <c r="C38" s="1" t="s">
        <v>19</v>
      </c>
      <c r="D38" s="2">
        <v>45826</v>
      </c>
      <c r="E38" s="1">
        <v>2.9</v>
      </c>
      <c r="F38" s="1">
        <v>1.2</v>
      </c>
      <c r="G38" s="3">
        <v>0.80208333333333337</v>
      </c>
      <c r="H38" s="1" t="s">
        <v>44</v>
      </c>
      <c r="I38" s="11">
        <v>12.5</v>
      </c>
      <c r="J38" s="4">
        <v>11</v>
      </c>
      <c r="K38" s="1">
        <v>9.9</v>
      </c>
      <c r="L38" s="4">
        <v>10.1</v>
      </c>
      <c r="M38" s="1">
        <f t="shared" si="0"/>
        <v>10.875</v>
      </c>
      <c r="N38" s="1">
        <v>6.3</v>
      </c>
      <c r="O38" s="1">
        <f t="shared" si="1"/>
        <v>3.15</v>
      </c>
      <c r="P38" s="1">
        <f t="shared" si="2"/>
        <v>339.00042751953634</v>
      </c>
      <c r="Q38" s="1">
        <f t="shared" si="3"/>
        <v>3.5398185447150943E-3</v>
      </c>
      <c r="R38" s="1">
        <f t="shared" si="4"/>
        <v>282.50035626628028</v>
      </c>
      <c r="S38" s="5">
        <f t="shared" si="5"/>
        <v>4.7083392711046717</v>
      </c>
      <c r="T38" s="9" t="s">
        <v>19</v>
      </c>
      <c r="U38" s="1">
        <f t="shared" si="6"/>
        <v>7.1999999999999995E-2</v>
      </c>
    </row>
    <row r="39" spans="1:21" x14ac:dyDescent="0.2">
      <c r="A39" s="1">
        <v>2</v>
      </c>
      <c r="B39" s="1" t="s">
        <v>17</v>
      </c>
      <c r="C39" s="1" t="s">
        <v>20</v>
      </c>
      <c r="D39" s="2">
        <v>45826</v>
      </c>
      <c r="E39" s="1">
        <v>2.9</v>
      </c>
      <c r="F39" s="1">
        <v>1.1000000000000001</v>
      </c>
      <c r="G39" s="3">
        <v>0.80208333333333337</v>
      </c>
      <c r="H39" s="1" t="s">
        <v>44</v>
      </c>
      <c r="I39" s="11">
        <v>11.6</v>
      </c>
      <c r="J39" s="1">
        <v>11.6</v>
      </c>
      <c r="K39" s="1">
        <v>11.2</v>
      </c>
      <c r="L39" s="1">
        <v>11.2</v>
      </c>
      <c r="M39" s="1">
        <f t="shared" si="0"/>
        <v>11.399999999999999</v>
      </c>
      <c r="N39" s="1">
        <v>6.3</v>
      </c>
      <c r="O39" s="1">
        <f t="shared" si="1"/>
        <v>3.15</v>
      </c>
      <c r="P39" s="1">
        <f t="shared" si="2"/>
        <v>355.36596539978979</v>
      </c>
      <c r="Q39" s="1">
        <f t="shared" si="3"/>
        <v>3.0954005366340882E-3</v>
      </c>
      <c r="R39" s="1">
        <f t="shared" si="4"/>
        <v>323.05996854526342</v>
      </c>
      <c r="S39" s="5">
        <f t="shared" si="5"/>
        <v>5.3843328090877236</v>
      </c>
      <c r="T39" s="9" t="s">
        <v>20</v>
      </c>
      <c r="U39" s="1">
        <f t="shared" si="6"/>
        <v>6.6000000000000003E-2</v>
      </c>
    </row>
    <row r="40" spans="1:21" x14ac:dyDescent="0.2">
      <c r="A40" s="1">
        <v>3</v>
      </c>
      <c r="B40" s="1" t="s">
        <v>17</v>
      </c>
      <c r="C40" s="1" t="s">
        <v>21</v>
      </c>
      <c r="D40" s="2">
        <v>45826</v>
      </c>
      <c r="E40" s="1">
        <v>2.9</v>
      </c>
      <c r="F40" s="1">
        <v>1.3</v>
      </c>
      <c r="G40" s="3">
        <v>0.80208333333333337</v>
      </c>
      <c r="H40" s="1" t="s">
        <v>44</v>
      </c>
      <c r="I40" s="12">
        <v>10</v>
      </c>
      <c r="J40" s="1">
        <v>10.199999999999999</v>
      </c>
      <c r="K40" s="1">
        <v>10.9</v>
      </c>
      <c r="L40" s="1">
        <v>8.8000000000000007</v>
      </c>
      <c r="M40" s="1">
        <f t="shared" si="0"/>
        <v>9.9750000000000014</v>
      </c>
      <c r="N40" s="1">
        <v>6.3</v>
      </c>
      <c r="O40" s="1">
        <f t="shared" si="1"/>
        <v>3.15</v>
      </c>
      <c r="P40" s="1">
        <f t="shared" si="2"/>
        <v>310.94521972481613</v>
      </c>
      <c r="Q40" s="1">
        <f t="shared" si="3"/>
        <v>4.1808007248044813E-3</v>
      </c>
      <c r="R40" s="1">
        <f t="shared" si="4"/>
        <v>239.18863055755088</v>
      </c>
      <c r="S40" s="5">
        <f t="shared" si="5"/>
        <v>3.9864771759591813</v>
      </c>
      <c r="T40" s="9" t="s">
        <v>21</v>
      </c>
      <c r="U40" s="1">
        <f t="shared" si="6"/>
        <v>7.8000000000000014E-2</v>
      </c>
    </row>
    <row r="41" spans="1:21" x14ac:dyDescent="0.2">
      <c r="A41" s="1">
        <v>4</v>
      </c>
      <c r="B41" s="1" t="s">
        <v>17</v>
      </c>
      <c r="C41" s="1" t="s">
        <v>22</v>
      </c>
      <c r="D41" s="2">
        <v>45826</v>
      </c>
      <c r="E41" s="1">
        <v>2.9</v>
      </c>
      <c r="F41" s="1">
        <v>2.4</v>
      </c>
      <c r="G41" s="3">
        <v>0.80208333333333337</v>
      </c>
      <c r="H41" s="1" t="s">
        <v>44</v>
      </c>
      <c r="I41" s="11">
        <v>10.8</v>
      </c>
      <c r="J41" s="1">
        <v>10.3</v>
      </c>
      <c r="K41" s="1">
        <v>10.1</v>
      </c>
      <c r="L41" s="4">
        <v>12</v>
      </c>
      <c r="M41" s="1">
        <f t="shared" si="0"/>
        <v>10.8</v>
      </c>
      <c r="N41" s="1">
        <v>6.3</v>
      </c>
      <c r="O41" s="1">
        <f t="shared" si="1"/>
        <v>3.15</v>
      </c>
      <c r="P41" s="1">
        <f t="shared" si="2"/>
        <v>336.66249353664301</v>
      </c>
      <c r="Q41" s="1">
        <f t="shared" si="3"/>
        <v>7.1288012358845642E-3</v>
      </c>
      <c r="R41" s="1">
        <f t="shared" si="4"/>
        <v>140.27603897360126</v>
      </c>
      <c r="S41" s="5">
        <f t="shared" si="5"/>
        <v>2.3379339828933543</v>
      </c>
      <c r="T41" s="9" t="s">
        <v>22</v>
      </c>
      <c r="U41" s="1">
        <f t="shared" si="6"/>
        <v>0.14399999999999999</v>
      </c>
    </row>
    <row r="42" spans="1:21" x14ac:dyDescent="0.2">
      <c r="A42" s="1">
        <v>5</v>
      </c>
      <c r="B42" s="1" t="s">
        <v>17</v>
      </c>
      <c r="C42" s="1" t="s">
        <v>23</v>
      </c>
      <c r="D42" s="2">
        <v>45826</v>
      </c>
      <c r="E42" s="1">
        <v>2.9</v>
      </c>
      <c r="F42" s="1">
        <v>1.2</v>
      </c>
      <c r="G42" s="3">
        <v>0.80208333333333337</v>
      </c>
      <c r="H42" s="1" t="s">
        <v>44</v>
      </c>
      <c r="I42" s="11">
        <v>15.1</v>
      </c>
      <c r="J42" s="1">
        <v>14.8</v>
      </c>
      <c r="K42" s="1">
        <v>14.4</v>
      </c>
      <c r="L42" s="1">
        <v>14.1</v>
      </c>
      <c r="M42" s="1">
        <f t="shared" si="0"/>
        <v>14.6</v>
      </c>
      <c r="N42" s="1">
        <v>6.3</v>
      </c>
      <c r="O42" s="1">
        <f t="shared" si="1"/>
        <v>3.15</v>
      </c>
      <c r="P42" s="1">
        <f t="shared" si="2"/>
        <v>455.1178153365729</v>
      </c>
      <c r="Q42" s="1">
        <f t="shared" si="3"/>
        <v>2.6366799091627844E-3</v>
      </c>
      <c r="R42" s="1">
        <f t="shared" si="4"/>
        <v>379.26484611381079</v>
      </c>
      <c r="S42" s="5">
        <f t="shared" si="5"/>
        <v>6.3210807685635135</v>
      </c>
      <c r="T42" s="9" t="s">
        <v>23</v>
      </c>
      <c r="U42" s="1">
        <f t="shared" si="6"/>
        <v>7.1999999999999995E-2</v>
      </c>
    </row>
    <row r="43" spans="1:21" x14ac:dyDescent="0.2">
      <c r="A43" s="1">
        <v>6</v>
      </c>
      <c r="B43" s="1" t="s">
        <v>17</v>
      </c>
      <c r="C43" s="1" t="s">
        <v>24</v>
      </c>
      <c r="D43" s="2">
        <v>45826</v>
      </c>
      <c r="E43" s="1">
        <v>2.9</v>
      </c>
      <c r="F43" s="1">
        <v>0.5</v>
      </c>
      <c r="G43" s="3">
        <v>0.80208333333333337</v>
      </c>
      <c r="H43" s="1" t="s">
        <v>44</v>
      </c>
      <c r="I43" s="11">
        <v>13.6</v>
      </c>
      <c r="J43" s="1">
        <v>13.2</v>
      </c>
      <c r="K43" s="1">
        <v>13.1</v>
      </c>
      <c r="L43" s="1">
        <v>12.8</v>
      </c>
      <c r="M43" s="1">
        <f t="shared" si="0"/>
        <v>13.175000000000001</v>
      </c>
      <c r="N43" s="1">
        <v>6.3</v>
      </c>
      <c r="O43" s="1">
        <f t="shared" si="1"/>
        <v>3.15</v>
      </c>
      <c r="P43" s="1">
        <f t="shared" si="2"/>
        <v>410.69706966159919</v>
      </c>
      <c r="Q43" s="1">
        <f t="shared" si="3"/>
        <v>1.2174423362990719E-3</v>
      </c>
      <c r="R43" s="1">
        <f t="shared" si="4"/>
        <v>821.39413932319837</v>
      </c>
      <c r="S43" s="5">
        <f t="shared" si="5"/>
        <v>13.689902322053307</v>
      </c>
      <c r="T43" s="9" t="s">
        <v>24</v>
      </c>
      <c r="U43" s="1">
        <f t="shared" si="6"/>
        <v>0.03</v>
      </c>
    </row>
    <row r="44" spans="1:21" x14ac:dyDescent="0.2">
      <c r="A44" s="1">
        <v>7</v>
      </c>
      <c r="B44" s="1" t="s">
        <v>17</v>
      </c>
      <c r="C44" s="1" t="s">
        <v>31</v>
      </c>
      <c r="D44" s="2">
        <v>45826</v>
      </c>
      <c r="E44" s="1">
        <v>2.9</v>
      </c>
      <c r="F44" s="1">
        <v>0.6</v>
      </c>
      <c r="G44" s="3">
        <v>0.80208333333333337</v>
      </c>
      <c r="H44" s="1" t="s">
        <v>44</v>
      </c>
      <c r="I44" s="11" t="s">
        <v>36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>
        <v>0</v>
      </c>
      <c r="S44" s="5">
        <f t="shared" si="5"/>
        <v>0</v>
      </c>
      <c r="T44" s="9" t="s">
        <v>31</v>
      </c>
      <c r="U44" s="1">
        <f t="shared" si="6"/>
        <v>3.5999999999999997E-2</v>
      </c>
    </row>
    <row r="45" spans="1:21" x14ac:dyDescent="0.2">
      <c r="A45" s="1">
        <v>8</v>
      </c>
      <c r="B45" s="1" t="s">
        <v>17</v>
      </c>
      <c r="C45" s="1" t="s">
        <v>25</v>
      </c>
      <c r="D45" s="2">
        <v>45826</v>
      </c>
      <c r="E45" s="1">
        <v>2.9</v>
      </c>
      <c r="F45" s="1">
        <v>0.5</v>
      </c>
      <c r="G45" s="3">
        <v>0.80208333333333337</v>
      </c>
      <c r="H45" s="1" t="s">
        <v>44</v>
      </c>
      <c r="I45" s="11">
        <v>11.7</v>
      </c>
      <c r="J45" s="1">
        <v>11.2</v>
      </c>
      <c r="K45" s="4">
        <v>11</v>
      </c>
      <c r="L45" s="1">
        <v>11.9</v>
      </c>
      <c r="M45" s="1">
        <f t="shared" si="0"/>
        <v>11.45</v>
      </c>
      <c r="N45" s="1">
        <v>6.3</v>
      </c>
      <c r="O45" s="1">
        <f t="shared" si="1"/>
        <v>3.15</v>
      </c>
      <c r="P45" s="1">
        <f t="shared" si="2"/>
        <v>356.92458805505203</v>
      </c>
      <c r="Q45" s="1">
        <f t="shared" si="3"/>
        <v>1.4008561380559191E-3</v>
      </c>
      <c r="R45" s="1">
        <f t="shared" si="4"/>
        <v>713.84917611010405</v>
      </c>
      <c r="S45" s="5">
        <f t="shared" si="5"/>
        <v>11.897486268501734</v>
      </c>
      <c r="T45" s="9" t="s">
        <v>25</v>
      </c>
      <c r="U45" s="1">
        <f t="shared" si="6"/>
        <v>0.03</v>
      </c>
    </row>
    <row r="46" spans="1:21" x14ac:dyDescent="0.2">
      <c r="A46" s="1">
        <v>9</v>
      </c>
      <c r="B46" s="1" t="s">
        <v>17</v>
      </c>
      <c r="C46" s="1" t="s">
        <v>32</v>
      </c>
      <c r="D46" s="2">
        <v>45826</v>
      </c>
      <c r="E46" s="1">
        <v>2.9</v>
      </c>
      <c r="F46" s="1">
        <v>0.6</v>
      </c>
      <c r="G46" s="3">
        <v>0.80208333333333337</v>
      </c>
      <c r="H46" s="1" t="s">
        <v>44</v>
      </c>
      <c r="I46" s="11" t="s">
        <v>36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>
        <v>0</v>
      </c>
      <c r="S46" s="5">
        <f t="shared" si="5"/>
        <v>0</v>
      </c>
      <c r="T46" s="9" t="s">
        <v>32</v>
      </c>
      <c r="U46" s="1">
        <f t="shared" si="6"/>
        <v>3.5999999999999997E-2</v>
      </c>
    </row>
    <row r="47" spans="1:21" x14ac:dyDescent="0.2">
      <c r="A47" s="1">
        <v>10</v>
      </c>
      <c r="B47" s="1" t="s">
        <v>18</v>
      </c>
      <c r="C47" s="1" t="s">
        <v>26</v>
      </c>
      <c r="D47" s="2">
        <v>45826</v>
      </c>
      <c r="E47" s="1">
        <v>2.9</v>
      </c>
      <c r="F47" s="1">
        <v>1.9</v>
      </c>
      <c r="G47" s="3">
        <v>0.80208333333333337</v>
      </c>
      <c r="H47" s="1" t="s">
        <v>44</v>
      </c>
      <c r="I47" s="11">
        <v>10.1</v>
      </c>
      <c r="J47" s="4">
        <v>10</v>
      </c>
      <c r="K47" s="1">
        <v>11.1</v>
      </c>
      <c r="L47" s="1">
        <v>9.9</v>
      </c>
      <c r="M47" s="1">
        <f t="shared" si="0"/>
        <v>10.275</v>
      </c>
      <c r="N47" s="1">
        <v>6.3</v>
      </c>
      <c r="O47" s="1">
        <f t="shared" si="1"/>
        <v>3.15</v>
      </c>
      <c r="P47" s="1">
        <f t="shared" si="2"/>
        <v>320.29695565638951</v>
      </c>
      <c r="Q47" s="1">
        <f t="shared" si="3"/>
        <v>5.931995188984236E-3</v>
      </c>
      <c r="R47" s="1">
        <f t="shared" si="4"/>
        <v>168.5773450823103</v>
      </c>
      <c r="S47" s="5">
        <f t="shared" si="5"/>
        <v>2.8096224180385052</v>
      </c>
      <c r="T47" s="9" t="s">
        <v>26</v>
      </c>
      <c r="U47" s="1">
        <f t="shared" si="6"/>
        <v>0.114</v>
      </c>
    </row>
    <row r="48" spans="1:21" x14ac:dyDescent="0.2">
      <c r="A48" s="1">
        <v>11</v>
      </c>
      <c r="B48" s="1" t="s">
        <v>18</v>
      </c>
      <c r="C48" s="1" t="s">
        <v>27</v>
      </c>
      <c r="D48" s="2">
        <v>45826</v>
      </c>
      <c r="E48" s="1">
        <v>2.9</v>
      </c>
      <c r="F48" s="1">
        <v>0.9</v>
      </c>
      <c r="G48" s="3">
        <v>0.80208333333333337</v>
      </c>
      <c r="H48" s="1" t="s">
        <v>44</v>
      </c>
      <c r="I48" s="11">
        <v>11.6</v>
      </c>
      <c r="J48" s="1">
        <v>11.6</v>
      </c>
      <c r="K48" s="1">
        <v>11.5</v>
      </c>
      <c r="L48" s="1">
        <v>10.9</v>
      </c>
      <c r="M48" s="1">
        <f t="shared" si="0"/>
        <v>11.4</v>
      </c>
      <c r="N48" s="1">
        <v>6.3</v>
      </c>
      <c r="O48" s="1">
        <f t="shared" si="1"/>
        <v>3.15</v>
      </c>
      <c r="P48" s="1">
        <f t="shared" si="2"/>
        <v>355.36596539978984</v>
      </c>
      <c r="Q48" s="1">
        <f t="shared" si="3"/>
        <v>2.5326004390642531E-3</v>
      </c>
      <c r="R48" s="1">
        <f t="shared" si="4"/>
        <v>394.8510726664332</v>
      </c>
      <c r="S48" s="5">
        <f t="shared" si="5"/>
        <v>6.5808512111072197</v>
      </c>
      <c r="T48" s="9" t="s">
        <v>27</v>
      </c>
      <c r="U48" s="1">
        <f t="shared" si="6"/>
        <v>5.4000000000000006E-2</v>
      </c>
    </row>
    <row r="49" spans="1:21" x14ac:dyDescent="0.2">
      <c r="A49" s="1">
        <v>12</v>
      </c>
      <c r="B49" s="1" t="s">
        <v>18</v>
      </c>
      <c r="C49" s="1" t="s">
        <v>28</v>
      </c>
      <c r="D49" s="2">
        <v>45826</v>
      </c>
      <c r="E49" s="1">
        <v>2.9</v>
      </c>
      <c r="F49" s="1">
        <v>0.8</v>
      </c>
      <c r="G49" s="3">
        <v>0.80208333333333337</v>
      </c>
      <c r="H49" s="1" t="s">
        <v>44</v>
      </c>
      <c r="I49" s="12">
        <v>12</v>
      </c>
      <c r="J49" s="1">
        <v>11.7</v>
      </c>
      <c r="K49" s="1">
        <v>11.6</v>
      </c>
      <c r="L49" s="1">
        <v>11.8</v>
      </c>
      <c r="M49" s="1">
        <f t="shared" si="0"/>
        <v>11.774999999999999</v>
      </c>
      <c r="N49" s="1">
        <v>6.3</v>
      </c>
      <c r="O49" s="1">
        <f t="shared" si="1"/>
        <v>3.15</v>
      </c>
      <c r="P49" s="1">
        <f t="shared" si="2"/>
        <v>367.05563531425656</v>
      </c>
      <c r="Q49" s="1">
        <f t="shared" si="3"/>
        <v>2.1795061103341349E-3</v>
      </c>
      <c r="R49" s="1">
        <f t="shared" si="4"/>
        <v>458.81954414282069</v>
      </c>
      <c r="S49" s="5">
        <f t="shared" si="5"/>
        <v>7.6469924023803451</v>
      </c>
      <c r="T49" s="9" t="s">
        <v>28</v>
      </c>
      <c r="U49" s="1">
        <f t="shared" si="6"/>
        <v>4.8000000000000001E-2</v>
      </c>
    </row>
    <row r="50" spans="1:21" x14ac:dyDescent="0.2">
      <c r="A50" s="1">
        <v>13</v>
      </c>
      <c r="B50" s="1" t="s">
        <v>18</v>
      </c>
      <c r="C50" s="1" t="s">
        <v>33</v>
      </c>
      <c r="D50" s="2">
        <v>45826</v>
      </c>
      <c r="E50" s="1">
        <v>2.9</v>
      </c>
      <c r="F50" s="1">
        <v>0.5</v>
      </c>
      <c r="G50" s="3">
        <v>0.80208333333333337</v>
      </c>
      <c r="H50" s="1" t="s">
        <v>44</v>
      </c>
      <c r="I50" s="11" t="s">
        <v>36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>
        <v>0</v>
      </c>
      <c r="S50" s="5">
        <f t="shared" si="5"/>
        <v>0</v>
      </c>
      <c r="T50" s="9" t="s">
        <v>33</v>
      </c>
      <c r="U50" s="1">
        <f t="shared" si="6"/>
        <v>0.03</v>
      </c>
    </row>
    <row r="51" spans="1:21" x14ac:dyDescent="0.2">
      <c r="A51" s="1">
        <v>14</v>
      </c>
      <c r="B51" s="1" t="s">
        <v>18</v>
      </c>
      <c r="C51" s="1" t="s">
        <v>34</v>
      </c>
      <c r="D51" s="2">
        <v>45826</v>
      </c>
      <c r="E51" s="1">
        <v>2.9</v>
      </c>
      <c r="F51" s="13">
        <v>1.7</v>
      </c>
      <c r="G51" s="3">
        <v>0.80208333333333337</v>
      </c>
      <c r="H51" s="1" t="s">
        <v>44</v>
      </c>
      <c r="I51" s="11" t="s">
        <v>36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>
        <v>0</v>
      </c>
      <c r="S51" s="5">
        <f t="shared" si="5"/>
        <v>0</v>
      </c>
      <c r="T51" s="9" t="s">
        <v>34</v>
      </c>
      <c r="U51" s="1">
        <f t="shared" si="6"/>
        <v>0.10199999999999999</v>
      </c>
    </row>
    <row r="52" spans="1:21" x14ac:dyDescent="0.2">
      <c r="A52" s="1">
        <v>15</v>
      </c>
      <c r="B52" s="1" t="s">
        <v>18</v>
      </c>
      <c r="C52" s="1" t="s">
        <v>29</v>
      </c>
      <c r="D52" s="2">
        <v>45826</v>
      </c>
      <c r="E52" s="1">
        <v>2.9</v>
      </c>
      <c r="F52" s="1">
        <v>0.7</v>
      </c>
      <c r="G52" s="3">
        <v>0.80208333333333337</v>
      </c>
      <c r="H52" s="1" t="s">
        <v>44</v>
      </c>
      <c r="I52" s="11">
        <v>11.2</v>
      </c>
      <c r="J52" s="1">
        <v>10.7</v>
      </c>
      <c r="K52" s="1">
        <v>10.4</v>
      </c>
      <c r="L52" s="1">
        <v>9.6999999999999993</v>
      </c>
      <c r="M52" s="1">
        <f t="shared" si="0"/>
        <v>10.5</v>
      </c>
      <c r="N52" s="1">
        <v>6.3</v>
      </c>
      <c r="O52" s="1">
        <f t="shared" si="1"/>
        <v>3.15</v>
      </c>
      <c r="P52" s="1">
        <f t="shared" si="2"/>
        <v>327.31075760506957</v>
      </c>
      <c r="Q52" s="1">
        <f t="shared" si="3"/>
        <v>2.1386403707653696E-3</v>
      </c>
      <c r="R52" s="1">
        <f t="shared" si="4"/>
        <v>467.58679657867083</v>
      </c>
      <c r="S52" s="5">
        <f t="shared" si="5"/>
        <v>7.7931132763111801</v>
      </c>
      <c r="T52" s="9" t="s">
        <v>29</v>
      </c>
      <c r="U52" s="1">
        <f t="shared" si="6"/>
        <v>4.2000000000000003E-2</v>
      </c>
    </row>
    <row r="53" spans="1:21" x14ac:dyDescent="0.2">
      <c r="A53" s="1">
        <v>16</v>
      </c>
      <c r="B53" s="1" t="s">
        <v>18</v>
      </c>
      <c r="C53" s="1" t="s">
        <v>30</v>
      </c>
      <c r="D53" s="2">
        <v>45826</v>
      </c>
      <c r="E53" s="1">
        <v>2.9</v>
      </c>
      <c r="F53" s="1">
        <v>0.7</v>
      </c>
      <c r="G53" s="3">
        <v>0.80208333333333337</v>
      </c>
      <c r="H53" s="1" t="s">
        <v>44</v>
      </c>
      <c r="I53" s="11">
        <v>11.7</v>
      </c>
      <c r="J53" s="1">
        <v>11.3</v>
      </c>
      <c r="K53" s="4">
        <v>12</v>
      </c>
      <c r="L53" s="1">
        <v>12.3</v>
      </c>
      <c r="M53" s="1">
        <f t="shared" si="0"/>
        <v>11.824999999999999</v>
      </c>
      <c r="N53" s="1">
        <v>6.3</v>
      </c>
      <c r="O53" s="1">
        <f t="shared" si="1"/>
        <v>3.15</v>
      </c>
      <c r="P53" s="1">
        <f t="shared" si="2"/>
        <v>368.6142579695188</v>
      </c>
      <c r="Q53" s="1">
        <f t="shared" si="3"/>
        <v>1.8990041347176643E-3</v>
      </c>
      <c r="R53" s="1">
        <f t="shared" si="4"/>
        <v>526.59179709931266</v>
      </c>
      <c r="S53" s="5">
        <f t="shared" si="5"/>
        <v>8.7765299516552115</v>
      </c>
      <c r="T53" s="9" t="s">
        <v>30</v>
      </c>
      <c r="U53" s="1">
        <f t="shared" si="6"/>
        <v>4.2000000000000003E-2</v>
      </c>
    </row>
    <row r="54" spans="1:21" x14ac:dyDescent="0.2">
      <c r="A54" s="1">
        <v>17</v>
      </c>
      <c r="B54" s="1" t="s">
        <v>18</v>
      </c>
      <c r="C54" s="1" t="s">
        <v>35</v>
      </c>
      <c r="D54" s="2">
        <v>45826</v>
      </c>
      <c r="E54" s="1">
        <v>2.9</v>
      </c>
      <c r="F54" s="1">
        <v>0.6</v>
      </c>
      <c r="G54" s="3">
        <v>0.80208333333333337</v>
      </c>
      <c r="H54" s="1" t="s">
        <v>44</v>
      </c>
      <c r="I54" s="11" t="s">
        <v>36</v>
      </c>
      <c r="J54" s="1" t="s">
        <v>36</v>
      </c>
      <c r="K54" s="1" t="s">
        <v>36</v>
      </c>
      <c r="L54" s="1" t="s">
        <v>36</v>
      </c>
      <c r="M54" s="1" t="s">
        <v>36</v>
      </c>
      <c r="N54" s="1" t="s">
        <v>36</v>
      </c>
      <c r="O54" s="1" t="s">
        <v>36</v>
      </c>
      <c r="P54" s="1" t="s">
        <v>36</v>
      </c>
      <c r="Q54" s="1" t="s">
        <v>36</v>
      </c>
      <c r="R54" s="1">
        <v>0</v>
      </c>
      <c r="S54" s="5">
        <f t="shared" si="5"/>
        <v>0</v>
      </c>
      <c r="T54" s="9" t="s">
        <v>35</v>
      </c>
      <c r="U54" s="1">
        <f t="shared" si="6"/>
        <v>3.5999999999999997E-2</v>
      </c>
    </row>
    <row r="55" spans="1:2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6"/>
      <c r="N55" s="6"/>
      <c r="O55" s="6"/>
      <c r="P55" s="6"/>
      <c r="Q55" s="6"/>
      <c r="R55" s="6"/>
      <c r="S55" s="7"/>
      <c r="T55" s="8"/>
      <c r="U55" s="8"/>
    </row>
    <row r="56" spans="1:21" x14ac:dyDescent="0.2">
      <c r="A56" s="1">
        <v>1</v>
      </c>
      <c r="B56" s="1" t="s">
        <v>17</v>
      </c>
      <c r="C56" s="1" t="s">
        <v>19</v>
      </c>
      <c r="D56" s="2">
        <v>45827</v>
      </c>
      <c r="E56" s="4">
        <v>3</v>
      </c>
      <c r="F56" s="1">
        <v>1.1000000000000001</v>
      </c>
      <c r="G56" s="3">
        <v>0.34722222222222221</v>
      </c>
      <c r="H56" s="1" t="s">
        <v>47</v>
      </c>
      <c r="I56" s="11">
        <v>12.5</v>
      </c>
      <c r="J56" s="4">
        <v>11</v>
      </c>
      <c r="K56" s="1">
        <v>9.9</v>
      </c>
      <c r="L56" s="4">
        <v>10.1</v>
      </c>
      <c r="M56" s="1">
        <f t="shared" si="0"/>
        <v>10.875</v>
      </c>
      <c r="N56" s="1">
        <v>6.3</v>
      </c>
      <c r="O56" s="1">
        <f t="shared" si="1"/>
        <v>3.15</v>
      </c>
      <c r="P56" s="1">
        <f t="shared" si="2"/>
        <v>339.00042751953634</v>
      </c>
      <c r="Q56" s="1">
        <f t="shared" si="3"/>
        <v>3.2448336659888369E-3</v>
      </c>
      <c r="R56" s="1">
        <f t="shared" si="4"/>
        <v>308.18220683594211</v>
      </c>
      <c r="S56" s="5">
        <f t="shared" si="5"/>
        <v>5.1363701139323688</v>
      </c>
      <c r="T56" s="9" t="s">
        <v>19</v>
      </c>
      <c r="U56" s="15">
        <f t="shared" si="6"/>
        <v>6.6000000000000003E-2</v>
      </c>
    </row>
    <row r="57" spans="1:21" x14ac:dyDescent="0.2">
      <c r="A57" s="1">
        <v>2</v>
      </c>
      <c r="B57" s="1" t="s">
        <v>17</v>
      </c>
      <c r="C57" s="1" t="s">
        <v>20</v>
      </c>
      <c r="D57" s="2">
        <v>45827</v>
      </c>
      <c r="E57" s="4">
        <v>3</v>
      </c>
      <c r="F57" s="4">
        <v>1</v>
      </c>
      <c r="G57" s="3">
        <v>0.34722222222222221</v>
      </c>
      <c r="H57" s="1" t="s">
        <v>47</v>
      </c>
      <c r="I57" s="11">
        <v>11.6</v>
      </c>
      <c r="J57" s="1">
        <v>11.6</v>
      </c>
      <c r="K57" s="1">
        <v>11.2</v>
      </c>
      <c r="L57" s="1">
        <v>11.2</v>
      </c>
      <c r="M57" s="1">
        <f t="shared" si="0"/>
        <v>11.399999999999999</v>
      </c>
      <c r="N57" s="1">
        <v>6.3</v>
      </c>
      <c r="O57" s="1">
        <f t="shared" si="1"/>
        <v>3.15</v>
      </c>
      <c r="P57" s="1">
        <f t="shared" si="2"/>
        <v>355.36596539978979</v>
      </c>
      <c r="Q57" s="1">
        <f t="shared" si="3"/>
        <v>2.8140004878491709E-3</v>
      </c>
      <c r="R57" s="1">
        <f t="shared" si="4"/>
        <v>355.36596539978979</v>
      </c>
      <c r="S57" s="5">
        <f t="shared" si="5"/>
        <v>5.9227660899964967</v>
      </c>
      <c r="T57" s="9" t="s">
        <v>20</v>
      </c>
      <c r="U57" s="15">
        <f t="shared" si="6"/>
        <v>0.06</v>
      </c>
    </row>
    <row r="58" spans="1:21" x14ac:dyDescent="0.2">
      <c r="A58" s="1">
        <v>3</v>
      </c>
      <c r="B58" s="1" t="s">
        <v>17</v>
      </c>
      <c r="C58" s="1" t="s">
        <v>21</v>
      </c>
      <c r="D58" s="2">
        <v>45827</v>
      </c>
      <c r="E58" s="4">
        <v>3</v>
      </c>
      <c r="F58" s="1">
        <v>1.4</v>
      </c>
      <c r="G58" s="3">
        <v>0.34722222222222221</v>
      </c>
      <c r="H58" s="1" t="s">
        <v>47</v>
      </c>
      <c r="I58" s="12">
        <v>10</v>
      </c>
      <c r="J58" s="1">
        <v>10.199999999999999</v>
      </c>
      <c r="K58" s="1">
        <v>10.9</v>
      </c>
      <c r="L58" s="1">
        <v>8.8000000000000007</v>
      </c>
      <c r="M58" s="1">
        <f t="shared" si="0"/>
        <v>9.9750000000000014</v>
      </c>
      <c r="N58" s="1">
        <v>6.3</v>
      </c>
      <c r="O58" s="1">
        <f t="shared" si="1"/>
        <v>3.15</v>
      </c>
      <c r="P58" s="1">
        <f t="shared" si="2"/>
        <v>310.94521972481613</v>
      </c>
      <c r="Q58" s="1">
        <f t="shared" si="3"/>
        <v>4.5024007805586717E-3</v>
      </c>
      <c r="R58" s="1">
        <f t="shared" si="4"/>
        <v>222.10372837486869</v>
      </c>
      <c r="S58" s="5">
        <f t="shared" si="5"/>
        <v>3.7017288062478118</v>
      </c>
      <c r="T58" s="9" t="s">
        <v>21</v>
      </c>
      <c r="U58" s="15">
        <f t="shared" si="6"/>
        <v>8.4000000000000005E-2</v>
      </c>
    </row>
    <row r="59" spans="1:21" x14ac:dyDescent="0.2">
      <c r="A59" s="1">
        <v>4</v>
      </c>
      <c r="B59" s="1" t="s">
        <v>17</v>
      </c>
      <c r="C59" s="1" t="s">
        <v>22</v>
      </c>
      <c r="D59" s="2">
        <v>45827</v>
      </c>
      <c r="E59" s="4">
        <v>3</v>
      </c>
      <c r="F59" s="1">
        <v>3.2</v>
      </c>
      <c r="G59" s="3">
        <v>0.34722222222222221</v>
      </c>
      <c r="H59" s="1" t="s">
        <v>47</v>
      </c>
      <c r="I59" s="11">
        <v>10.8</v>
      </c>
      <c r="J59" s="1">
        <v>10.3</v>
      </c>
      <c r="K59" s="1">
        <v>10.1</v>
      </c>
      <c r="L59" s="4">
        <v>12</v>
      </c>
      <c r="M59" s="1">
        <f t="shared" si="0"/>
        <v>10.8</v>
      </c>
      <c r="N59" s="1">
        <v>6.3</v>
      </c>
      <c r="O59" s="1">
        <f t="shared" si="1"/>
        <v>3.15</v>
      </c>
      <c r="P59" s="1">
        <f t="shared" si="2"/>
        <v>336.66249353664301</v>
      </c>
      <c r="Q59" s="1">
        <f t="shared" si="3"/>
        <v>9.5050683145127528E-3</v>
      </c>
      <c r="R59" s="1">
        <f t="shared" si="4"/>
        <v>105.20702923020094</v>
      </c>
      <c r="S59" s="5">
        <f t="shared" si="5"/>
        <v>1.7534504871700158</v>
      </c>
      <c r="T59" s="9" t="s">
        <v>22</v>
      </c>
      <c r="U59" s="15">
        <f t="shared" si="6"/>
        <v>0.192</v>
      </c>
    </row>
    <row r="60" spans="1:21" x14ac:dyDescent="0.2">
      <c r="A60" s="1">
        <v>5</v>
      </c>
      <c r="B60" s="1" t="s">
        <v>17</v>
      </c>
      <c r="C60" s="1" t="s">
        <v>23</v>
      </c>
      <c r="D60" s="2">
        <v>45827</v>
      </c>
      <c r="E60" s="4">
        <v>3</v>
      </c>
      <c r="F60" s="1">
        <v>1.3</v>
      </c>
      <c r="G60" s="3">
        <v>0.34722222222222221</v>
      </c>
      <c r="H60" s="1" t="s">
        <v>47</v>
      </c>
      <c r="I60" s="11">
        <v>15.1</v>
      </c>
      <c r="J60" s="1">
        <v>14.8</v>
      </c>
      <c r="K60" s="1">
        <v>14.4</v>
      </c>
      <c r="L60" s="1">
        <v>14.1</v>
      </c>
      <c r="M60" s="1">
        <f t="shared" si="0"/>
        <v>14.6</v>
      </c>
      <c r="N60" s="1">
        <v>6.3</v>
      </c>
      <c r="O60" s="1">
        <f t="shared" si="1"/>
        <v>3.15</v>
      </c>
      <c r="P60" s="1">
        <f t="shared" si="2"/>
        <v>455.1178153365729</v>
      </c>
      <c r="Q60" s="1">
        <f t="shared" si="3"/>
        <v>2.8564032349263501E-3</v>
      </c>
      <c r="R60" s="1">
        <f t="shared" si="4"/>
        <v>350.09062718197913</v>
      </c>
      <c r="S60" s="5">
        <f t="shared" si="5"/>
        <v>5.834843786366319</v>
      </c>
      <c r="T60" s="9" t="s">
        <v>23</v>
      </c>
      <c r="U60" s="15">
        <f t="shared" si="6"/>
        <v>7.8000000000000014E-2</v>
      </c>
    </row>
    <row r="61" spans="1:21" x14ac:dyDescent="0.2">
      <c r="A61" s="1">
        <v>6</v>
      </c>
      <c r="B61" s="1" t="s">
        <v>17</v>
      </c>
      <c r="C61" s="1" t="s">
        <v>24</v>
      </c>
      <c r="D61" s="2">
        <v>45827</v>
      </c>
      <c r="E61" s="4">
        <v>3</v>
      </c>
      <c r="F61" s="1">
        <v>0.9</v>
      </c>
      <c r="G61" s="3">
        <v>0.34722222222222221</v>
      </c>
      <c r="H61" s="1" t="s">
        <v>47</v>
      </c>
      <c r="I61" s="11">
        <v>13.6</v>
      </c>
      <c r="J61" s="1">
        <v>13.2</v>
      </c>
      <c r="K61" s="1">
        <v>13.1</v>
      </c>
      <c r="L61" s="1">
        <v>12.8</v>
      </c>
      <c r="M61" s="1">
        <f t="shared" si="0"/>
        <v>13.175000000000001</v>
      </c>
      <c r="N61" s="1">
        <v>6.3</v>
      </c>
      <c r="O61" s="1">
        <f t="shared" si="1"/>
        <v>3.15</v>
      </c>
      <c r="P61" s="1">
        <f t="shared" si="2"/>
        <v>410.69706966159919</v>
      </c>
      <c r="Q61" s="1">
        <f t="shared" si="3"/>
        <v>2.1913962053383296E-3</v>
      </c>
      <c r="R61" s="1">
        <f t="shared" si="4"/>
        <v>456.3300774017768</v>
      </c>
      <c r="S61" s="5">
        <f t="shared" si="5"/>
        <v>7.6055012900296131</v>
      </c>
      <c r="T61" s="9" t="s">
        <v>24</v>
      </c>
      <c r="U61" s="15">
        <f t="shared" si="6"/>
        <v>5.4000000000000006E-2</v>
      </c>
    </row>
    <row r="62" spans="1:21" x14ac:dyDescent="0.2">
      <c r="A62" s="1">
        <v>7</v>
      </c>
      <c r="B62" s="1" t="s">
        <v>17</v>
      </c>
      <c r="C62" s="1" t="s">
        <v>31</v>
      </c>
      <c r="D62" s="2">
        <v>45827</v>
      </c>
      <c r="E62" s="4">
        <v>3</v>
      </c>
      <c r="F62" s="1">
        <v>0.6</v>
      </c>
      <c r="G62" s="3">
        <v>0.34722222222222221</v>
      </c>
      <c r="H62" s="1" t="s">
        <v>47</v>
      </c>
      <c r="I62" s="11" t="s">
        <v>36</v>
      </c>
      <c r="J62" s="1" t="s">
        <v>36</v>
      </c>
      <c r="K62" s="1" t="s">
        <v>36</v>
      </c>
      <c r="L62" s="1" t="s">
        <v>36</v>
      </c>
      <c r="M62" s="1" t="s">
        <v>36</v>
      </c>
      <c r="N62" s="1" t="s">
        <v>36</v>
      </c>
      <c r="O62" s="1" t="s">
        <v>36</v>
      </c>
      <c r="P62" s="1" t="s">
        <v>36</v>
      </c>
      <c r="Q62" s="1" t="s">
        <v>36</v>
      </c>
      <c r="R62" s="1">
        <v>0</v>
      </c>
      <c r="S62" s="5">
        <f t="shared" si="5"/>
        <v>0</v>
      </c>
      <c r="T62" s="9" t="s">
        <v>31</v>
      </c>
      <c r="U62" s="15">
        <f t="shared" si="6"/>
        <v>3.5999999999999997E-2</v>
      </c>
    </row>
    <row r="63" spans="1:21" x14ac:dyDescent="0.2">
      <c r="A63" s="1">
        <v>8</v>
      </c>
      <c r="B63" s="1" t="s">
        <v>17</v>
      </c>
      <c r="C63" s="1" t="s">
        <v>25</v>
      </c>
      <c r="D63" s="2">
        <v>45827</v>
      </c>
      <c r="E63" s="4">
        <v>3</v>
      </c>
      <c r="F63" s="1">
        <v>0.7</v>
      </c>
      <c r="G63" s="3">
        <v>0.34722222222222221</v>
      </c>
      <c r="H63" s="1" t="s">
        <v>47</v>
      </c>
      <c r="I63" s="11">
        <v>11.7</v>
      </c>
      <c r="J63" s="1">
        <v>11.2</v>
      </c>
      <c r="K63" s="4">
        <v>11</v>
      </c>
      <c r="L63" s="1">
        <v>11.9</v>
      </c>
      <c r="M63" s="1">
        <f t="shared" si="0"/>
        <v>11.45</v>
      </c>
      <c r="N63" s="1">
        <v>6.3</v>
      </c>
      <c r="O63" s="1">
        <f t="shared" si="1"/>
        <v>3.15</v>
      </c>
      <c r="P63" s="1">
        <f t="shared" si="2"/>
        <v>356.92458805505203</v>
      </c>
      <c r="Q63" s="1">
        <f t="shared" si="3"/>
        <v>1.9611985932782867E-3</v>
      </c>
      <c r="R63" s="1">
        <f t="shared" si="4"/>
        <v>509.8922686500743</v>
      </c>
      <c r="S63" s="5">
        <f t="shared" si="5"/>
        <v>8.498204477501238</v>
      </c>
      <c r="T63" s="9" t="s">
        <v>25</v>
      </c>
      <c r="U63" s="15">
        <f t="shared" si="6"/>
        <v>4.2000000000000003E-2</v>
      </c>
    </row>
    <row r="64" spans="1:21" x14ac:dyDescent="0.2">
      <c r="A64" s="1">
        <v>9</v>
      </c>
      <c r="B64" s="1" t="s">
        <v>17</v>
      </c>
      <c r="C64" s="1" t="s">
        <v>32</v>
      </c>
      <c r="D64" s="2">
        <v>45827</v>
      </c>
      <c r="E64" s="4">
        <v>3</v>
      </c>
      <c r="F64" s="1">
        <v>0.8</v>
      </c>
      <c r="G64" s="3">
        <v>0.34722222222222221</v>
      </c>
      <c r="H64" s="1" t="s">
        <v>47</v>
      </c>
      <c r="I64" s="11" t="s">
        <v>36</v>
      </c>
      <c r="J64" s="1" t="s">
        <v>36</v>
      </c>
      <c r="K64" s="1" t="s">
        <v>36</v>
      </c>
      <c r="L64" s="1" t="s">
        <v>36</v>
      </c>
      <c r="M64" s="1" t="s">
        <v>36</v>
      </c>
      <c r="N64" s="1" t="s">
        <v>36</v>
      </c>
      <c r="O64" s="1" t="s">
        <v>36</v>
      </c>
      <c r="P64" s="1" t="s">
        <v>36</v>
      </c>
      <c r="Q64" s="1" t="s">
        <v>36</v>
      </c>
      <c r="R64" s="1">
        <v>0</v>
      </c>
      <c r="S64" s="5">
        <f t="shared" si="5"/>
        <v>0</v>
      </c>
      <c r="T64" s="9" t="s">
        <v>32</v>
      </c>
      <c r="U64" s="15">
        <f t="shared" si="6"/>
        <v>4.8000000000000001E-2</v>
      </c>
    </row>
    <row r="65" spans="1:21" x14ac:dyDescent="0.2">
      <c r="A65" s="1">
        <v>10</v>
      </c>
      <c r="B65" s="1" t="s">
        <v>18</v>
      </c>
      <c r="C65" s="1" t="s">
        <v>26</v>
      </c>
      <c r="D65" s="2">
        <v>45827</v>
      </c>
      <c r="E65" s="4">
        <v>3</v>
      </c>
      <c r="F65" s="1">
        <v>1.4</v>
      </c>
      <c r="G65" s="3">
        <v>0.34722222222222221</v>
      </c>
      <c r="H65" s="1" t="s">
        <v>47</v>
      </c>
      <c r="I65" s="11">
        <v>10.1</v>
      </c>
      <c r="J65" s="4">
        <v>10</v>
      </c>
      <c r="K65" s="1">
        <v>11.1</v>
      </c>
      <c r="L65" s="1">
        <v>9.9</v>
      </c>
      <c r="M65" s="1">
        <f t="shared" si="0"/>
        <v>10.275</v>
      </c>
      <c r="N65" s="1">
        <v>6.3</v>
      </c>
      <c r="O65" s="1">
        <f t="shared" si="1"/>
        <v>3.15</v>
      </c>
      <c r="P65" s="1">
        <f t="shared" si="2"/>
        <v>320.29695565638951</v>
      </c>
      <c r="Q65" s="1">
        <f t="shared" si="3"/>
        <v>4.3709438234620689E-3</v>
      </c>
      <c r="R65" s="1">
        <f t="shared" si="4"/>
        <v>228.78353975456395</v>
      </c>
      <c r="S65" s="5">
        <f t="shared" si="5"/>
        <v>3.8130589959093992</v>
      </c>
      <c r="T65" s="9" t="s">
        <v>26</v>
      </c>
      <c r="U65" s="15">
        <f t="shared" si="6"/>
        <v>8.4000000000000005E-2</v>
      </c>
    </row>
    <row r="66" spans="1:21" x14ac:dyDescent="0.2">
      <c r="A66" s="1">
        <v>11</v>
      </c>
      <c r="B66" s="1" t="s">
        <v>18</v>
      </c>
      <c r="C66" s="1" t="s">
        <v>27</v>
      </c>
      <c r="D66" s="2">
        <v>45827</v>
      </c>
      <c r="E66" s="4">
        <v>3</v>
      </c>
      <c r="F66" s="1">
        <v>1.1000000000000001</v>
      </c>
      <c r="G66" s="3">
        <v>0.34722222222222221</v>
      </c>
      <c r="H66" s="1" t="s">
        <v>47</v>
      </c>
      <c r="I66" s="11">
        <v>11.6</v>
      </c>
      <c r="J66" s="1">
        <v>11.6</v>
      </c>
      <c r="K66" s="1">
        <v>11.5</v>
      </c>
      <c r="L66" s="1">
        <v>10.9</v>
      </c>
      <c r="M66" s="1">
        <f t="shared" si="0"/>
        <v>11.4</v>
      </c>
      <c r="N66" s="1">
        <v>6.3</v>
      </c>
      <c r="O66" s="1">
        <f t="shared" si="1"/>
        <v>3.15</v>
      </c>
      <c r="P66" s="1">
        <f t="shared" si="2"/>
        <v>355.36596539978984</v>
      </c>
      <c r="Q66" s="1">
        <f t="shared" si="3"/>
        <v>3.0954005366340877E-3</v>
      </c>
      <c r="R66" s="1">
        <f t="shared" si="4"/>
        <v>323.05996854526347</v>
      </c>
      <c r="S66" s="5">
        <f t="shared" si="5"/>
        <v>5.3843328090877245</v>
      </c>
      <c r="T66" s="9" t="s">
        <v>27</v>
      </c>
      <c r="U66" s="15">
        <f t="shared" si="6"/>
        <v>6.6000000000000003E-2</v>
      </c>
    </row>
    <row r="67" spans="1:21" x14ac:dyDescent="0.2">
      <c r="A67" s="1">
        <v>12</v>
      </c>
      <c r="B67" s="1" t="s">
        <v>18</v>
      </c>
      <c r="C67" s="1" t="s">
        <v>28</v>
      </c>
      <c r="D67" s="2">
        <v>45827</v>
      </c>
      <c r="E67" s="4">
        <v>3</v>
      </c>
      <c r="F67" s="1">
        <v>0.7</v>
      </c>
      <c r="G67" s="3">
        <v>0.34722222222222221</v>
      </c>
      <c r="H67" s="1" t="s">
        <v>47</v>
      </c>
      <c r="I67" s="12">
        <v>12</v>
      </c>
      <c r="J67" s="1">
        <v>11.7</v>
      </c>
      <c r="K67" s="1">
        <v>11.6</v>
      </c>
      <c r="L67" s="1">
        <v>11.8</v>
      </c>
      <c r="M67" s="1">
        <f t="shared" ref="M67:M89" si="7">AVERAGE(I67:L67)</f>
        <v>11.774999999999999</v>
      </c>
      <c r="N67" s="1">
        <v>6.3</v>
      </c>
      <c r="O67" s="1">
        <f t="shared" ref="O67:O89" si="8">N67/2</f>
        <v>3.15</v>
      </c>
      <c r="P67" s="1">
        <f t="shared" ref="P67:P89" si="9">PI()*(O67^2)*M67</f>
        <v>367.05563531425656</v>
      </c>
      <c r="Q67" s="1">
        <f t="shared" ref="Q67:Q89" si="10">F67/P67</f>
        <v>1.9070678465423678E-3</v>
      </c>
      <c r="R67" s="1">
        <f t="shared" ref="R67:R89" si="11">1/Q67</f>
        <v>524.36519330608087</v>
      </c>
      <c r="S67" s="5">
        <f t="shared" ref="S67:S90" si="12">R67/60</f>
        <v>8.7394198884346803</v>
      </c>
      <c r="T67" s="9" t="s">
        <v>28</v>
      </c>
      <c r="U67" s="15">
        <f t="shared" ref="U67:U90" si="13">F67*(1/1000)*(60/1)</f>
        <v>4.2000000000000003E-2</v>
      </c>
    </row>
    <row r="68" spans="1:21" x14ac:dyDescent="0.2">
      <c r="A68" s="1">
        <v>13</v>
      </c>
      <c r="B68" s="1" t="s">
        <v>18</v>
      </c>
      <c r="C68" s="1" t="s">
        <v>33</v>
      </c>
      <c r="D68" s="2">
        <v>45827</v>
      </c>
      <c r="E68" s="4">
        <v>3</v>
      </c>
      <c r="F68" s="1">
        <v>0.7</v>
      </c>
      <c r="G68" s="3">
        <v>0.34722222222222221</v>
      </c>
      <c r="H68" s="1" t="s">
        <v>47</v>
      </c>
      <c r="I68" s="11" t="s">
        <v>36</v>
      </c>
      <c r="J68" s="1" t="s">
        <v>36</v>
      </c>
      <c r="K68" s="1" t="s">
        <v>36</v>
      </c>
      <c r="L68" s="1" t="s">
        <v>36</v>
      </c>
      <c r="M68" s="1" t="s">
        <v>36</v>
      </c>
      <c r="N68" s="1" t="s">
        <v>36</v>
      </c>
      <c r="O68" s="1" t="s">
        <v>36</v>
      </c>
      <c r="P68" s="1" t="s">
        <v>36</v>
      </c>
      <c r="Q68" s="1" t="s">
        <v>36</v>
      </c>
      <c r="R68" s="1">
        <v>0</v>
      </c>
      <c r="S68" s="5">
        <f t="shared" si="12"/>
        <v>0</v>
      </c>
      <c r="T68" s="9" t="s">
        <v>33</v>
      </c>
      <c r="U68" s="15">
        <f t="shared" si="13"/>
        <v>4.2000000000000003E-2</v>
      </c>
    </row>
    <row r="69" spans="1:21" x14ac:dyDescent="0.2">
      <c r="A69" s="1">
        <v>14</v>
      </c>
      <c r="B69" s="1" t="s">
        <v>18</v>
      </c>
      <c r="C69" s="1" t="s">
        <v>34</v>
      </c>
      <c r="D69" s="2">
        <v>45827</v>
      </c>
      <c r="E69" s="4">
        <v>3</v>
      </c>
      <c r="F69" s="1">
        <v>1.5</v>
      </c>
      <c r="G69" s="3">
        <v>0.34722222222222221</v>
      </c>
      <c r="H69" s="1" t="s">
        <v>47</v>
      </c>
      <c r="I69" s="11" t="s">
        <v>36</v>
      </c>
      <c r="J69" s="1" t="s">
        <v>36</v>
      </c>
      <c r="K69" s="1" t="s">
        <v>36</v>
      </c>
      <c r="L69" s="1" t="s">
        <v>36</v>
      </c>
      <c r="M69" s="1" t="s">
        <v>36</v>
      </c>
      <c r="N69" s="1" t="s">
        <v>36</v>
      </c>
      <c r="O69" s="1" t="s">
        <v>36</v>
      </c>
      <c r="P69" s="1" t="s">
        <v>36</v>
      </c>
      <c r="Q69" s="1" t="s">
        <v>36</v>
      </c>
      <c r="R69" s="1">
        <v>0</v>
      </c>
      <c r="S69" s="5">
        <f t="shared" si="12"/>
        <v>0</v>
      </c>
      <c r="T69" s="9" t="s">
        <v>34</v>
      </c>
      <c r="U69" s="15">
        <f t="shared" si="13"/>
        <v>0.09</v>
      </c>
    </row>
    <row r="70" spans="1:21" x14ac:dyDescent="0.2">
      <c r="A70" s="1">
        <v>15</v>
      </c>
      <c r="B70" s="1" t="s">
        <v>18</v>
      </c>
      <c r="C70" s="1" t="s">
        <v>29</v>
      </c>
      <c r="D70" s="2">
        <v>45827</v>
      </c>
      <c r="E70" s="4">
        <v>3</v>
      </c>
      <c r="F70" s="1">
        <v>0.7</v>
      </c>
      <c r="G70" s="3">
        <v>0.34722222222222221</v>
      </c>
      <c r="H70" s="1" t="s">
        <v>47</v>
      </c>
      <c r="I70" s="11">
        <v>11.2</v>
      </c>
      <c r="J70" s="1">
        <v>10.7</v>
      </c>
      <c r="K70" s="1">
        <v>10.4</v>
      </c>
      <c r="L70" s="1">
        <v>9.6999999999999993</v>
      </c>
      <c r="M70" s="1">
        <f t="shared" si="7"/>
        <v>10.5</v>
      </c>
      <c r="N70" s="1">
        <v>6.3</v>
      </c>
      <c r="O70" s="1">
        <f t="shared" si="8"/>
        <v>3.15</v>
      </c>
      <c r="P70" s="1">
        <f t="shared" si="9"/>
        <v>327.31075760506957</v>
      </c>
      <c r="Q70" s="1">
        <f t="shared" si="10"/>
        <v>2.1386403707653696E-3</v>
      </c>
      <c r="R70" s="1">
        <f t="shared" si="11"/>
        <v>467.58679657867083</v>
      </c>
      <c r="S70" s="5">
        <f t="shared" si="12"/>
        <v>7.7931132763111801</v>
      </c>
      <c r="T70" s="9" t="s">
        <v>29</v>
      </c>
      <c r="U70" s="15">
        <f t="shared" si="13"/>
        <v>4.2000000000000003E-2</v>
      </c>
    </row>
    <row r="71" spans="1:21" x14ac:dyDescent="0.2">
      <c r="A71" s="1">
        <v>16</v>
      </c>
      <c r="B71" s="1" t="s">
        <v>18</v>
      </c>
      <c r="C71" s="1" t="s">
        <v>30</v>
      </c>
      <c r="D71" s="2">
        <v>45827</v>
      </c>
      <c r="E71" s="4">
        <v>3</v>
      </c>
      <c r="F71" s="1">
        <v>0.8</v>
      </c>
      <c r="G71" s="3">
        <v>0.34722222222222221</v>
      </c>
      <c r="H71" s="1" t="s">
        <v>47</v>
      </c>
      <c r="I71" s="11">
        <v>11.7</v>
      </c>
      <c r="J71" s="1">
        <v>11.3</v>
      </c>
      <c r="K71" s="4">
        <v>12</v>
      </c>
      <c r="L71" s="1">
        <v>12.3</v>
      </c>
      <c r="M71" s="1">
        <f t="shared" si="7"/>
        <v>11.824999999999999</v>
      </c>
      <c r="N71" s="1">
        <v>6.3</v>
      </c>
      <c r="O71" s="1">
        <f t="shared" si="8"/>
        <v>3.15</v>
      </c>
      <c r="P71" s="1">
        <f t="shared" si="9"/>
        <v>368.6142579695188</v>
      </c>
      <c r="Q71" s="1">
        <f t="shared" si="10"/>
        <v>2.1702904396773311E-3</v>
      </c>
      <c r="R71" s="1">
        <f t="shared" si="11"/>
        <v>460.76782246189845</v>
      </c>
      <c r="S71" s="5">
        <f t="shared" si="12"/>
        <v>7.6794637076983072</v>
      </c>
      <c r="T71" s="9" t="s">
        <v>30</v>
      </c>
      <c r="U71" s="15">
        <f t="shared" si="13"/>
        <v>4.8000000000000001E-2</v>
      </c>
    </row>
    <row r="72" spans="1:21" x14ac:dyDescent="0.2">
      <c r="A72" s="1">
        <v>17</v>
      </c>
      <c r="B72" s="1" t="s">
        <v>18</v>
      </c>
      <c r="C72" s="1" t="s">
        <v>35</v>
      </c>
      <c r="D72" s="2">
        <v>45827</v>
      </c>
      <c r="E72" s="4">
        <v>3</v>
      </c>
      <c r="F72" s="1">
        <v>0.7</v>
      </c>
      <c r="G72" s="3">
        <v>0.34722222222222221</v>
      </c>
      <c r="H72" s="1" t="s">
        <v>47</v>
      </c>
      <c r="I72" s="11" t="s">
        <v>36</v>
      </c>
      <c r="J72" s="1" t="s">
        <v>36</v>
      </c>
      <c r="K72" s="1" t="s">
        <v>36</v>
      </c>
      <c r="L72" s="1" t="s">
        <v>36</v>
      </c>
      <c r="M72" s="1" t="s">
        <v>36</v>
      </c>
      <c r="N72" s="1" t="s">
        <v>36</v>
      </c>
      <c r="O72" s="1" t="s">
        <v>36</v>
      </c>
      <c r="P72" s="1" t="s">
        <v>36</v>
      </c>
      <c r="Q72" s="1" t="s">
        <v>36</v>
      </c>
      <c r="R72" s="1">
        <v>0</v>
      </c>
      <c r="S72" s="5">
        <f t="shared" si="12"/>
        <v>0</v>
      </c>
      <c r="T72" s="9" t="s">
        <v>35</v>
      </c>
      <c r="U72" s="15">
        <f t="shared" si="13"/>
        <v>4.2000000000000003E-2</v>
      </c>
    </row>
    <row r="73" spans="1:2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6"/>
      <c r="N73" s="6"/>
      <c r="O73" s="6"/>
      <c r="P73" s="6"/>
      <c r="Q73" s="6"/>
      <c r="R73" s="6"/>
      <c r="S73" s="7"/>
      <c r="T73" s="8"/>
      <c r="U73" s="8"/>
    </row>
    <row r="74" spans="1:21" x14ac:dyDescent="0.2">
      <c r="A74" s="1">
        <v>1</v>
      </c>
      <c r="B74" s="1" t="s">
        <v>17</v>
      </c>
      <c r="C74" s="1" t="s">
        <v>19</v>
      </c>
      <c r="D74" s="2">
        <v>45827</v>
      </c>
      <c r="E74" s="1">
        <v>3.2</v>
      </c>
      <c r="F74" s="1">
        <v>0.9</v>
      </c>
      <c r="G74" s="3">
        <v>0.4513888888888889</v>
      </c>
      <c r="H74" s="1" t="s">
        <v>56</v>
      </c>
      <c r="I74" s="11">
        <v>12.5</v>
      </c>
      <c r="J74" s="4">
        <v>11</v>
      </c>
      <c r="K74" s="1">
        <v>9.9</v>
      </c>
      <c r="L74" s="4">
        <v>10.1</v>
      </c>
      <c r="M74" s="1">
        <f t="shared" si="7"/>
        <v>10.875</v>
      </c>
      <c r="N74" s="1">
        <v>6.3</v>
      </c>
      <c r="O74" s="1">
        <f t="shared" si="8"/>
        <v>3.15</v>
      </c>
      <c r="P74" s="1">
        <f t="shared" si="9"/>
        <v>339.00042751953634</v>
      </c>
      <c r="Q74" s="1">
        <f t="shared" si="10"/>
        <v>2.6548639085363208E-3</v>
      </c>
      <c r="R74" s="1">
        <f t="shared" si="11"/>
        <v>376.6671416883737</v>
      </c>
      <c r="S74" s="5">
        <f t="shared" si="12"/>
        <v>6.2777856948062283</v>
      </c>
      <c r="T74" s="9" t="s">
        <v>19</v>
      </c>
      <c r="U74" s="1">
        <f t="shared" si="13"/>
        <v>5.4000000000000006E-2</v>
      </c>
    </row>
    <row r="75" spans="1:21" x14ac:dyDescent="0.2">
      <c r="A75" s="1">
        <v>2</v>
      </c>
      <c r="B75" s="1" t="s">
        <v>17</v>
      </c>
      <c r="C75" s="1" t="s">
        <v>20</v>
      </c>
      <c r="D75" s="2">
        <v>45827</v>
      </c>
      <c r="E75" s="1">
        <v>3.2</v>
      </c>
      <c r="F75" s="1">
        <v>0.9</v>
      </c>
      <c r="G75" s="3">
        <v>0.4513888888888889</v>
      </c>
      <c r="H75" s="1" t="s">
        <v>56</v>
      </c>
      <c r="I75" s="11">
        <v>11.6</v>
      </c>
      <c r="J75" s="1">
        <v>11.6</v>
      </c>
      <c r="K75" s="1">
        <v>11.2</v>
      </c>
      <c r="L75" s="1">
        <v>11.2</v>
      </c>
      <c r="M75" s="1">
        <f t="shared" si="7"/>
        <v>11.399999999999999</v>
      </c>
      <c r="N75" s="1">
        <v>6.3</v>
      </c>
      <c r="O75" s="1">
        <f t="shared" si="8"/>
        <v>3.15</v>
      </c>
      <c r="P75" s="1">
        <f t="shared" si="9"/>
        <v>355.36596539978979</v>
      </c>
      <c r="Q75" s="1">
        <f t="shared" si="10"/>
        <v>2.5326004390642536E-3</v>
      </c>
      <c r="R75" s="1">
        <f t="shared" si="11"/>
        <v>394.85107266643314</v>
      </c>
      <c r="S75" s="5">
        <f t="shared" si="12"/>
        <v>6.5808512111072188</v>
      </c>
      <c r="T75" s="9" t="s">
        <v>20</v>
      </c>
      <c r="U75" s="1">
        <f t="shared" si="13"/>
        <v>5.4000000000000006E-2</v>
      </c>
    </row>
    <row r="76" spans="1:21" x14ac:dyDescent="0.2">
      <c r="A76" s="1">
        <v>3</v>
      </c>
      <c r="B76" s="1" t="s">
        <v>17</v>
      </c>
      <c r="C76" s="1" t="s">
        <v>21</v>
      </c>
      <c r="D76" s="2">
        <v>45827</v>
      </c>
      <c r="E76" s="1">
        <v>3.2</v>
      </c>
      <c r="F76" s="1">
        <v>1.3</v>
      </c>
      <c r="G76" s="3">
        <v>0.4513888888888889</v>
      </c>
      <c r="H76" s="1" t="s">
        <v>56</v>
      </c>
      <c r="I76" s="12">
        <v>10</v>
      </c>
      <c r="J76" s="1">
        <v>10.199999999999999</v>
      </c>
      <c r="K76" s="1">
        <v>10.9</v>
      </c>
      <c r="L76" s="1">
        <v>8.8000000000000007</v>
      </c>
      <c r="M76" s="16">
        <f t="shared" si="7"/>
        <v>9.9750000000000014</v>
      </c>
      <c r="N76" s="1">
        <v>6.3</v>
      </c>
      <c r="O76" s="1">
        <f t="shared" si="8"/>
        <v>3.15</v>
      </c>
      <c r="P76" s="1">
        <f t="shared" si="9"/>
        <v>310.94521972481613</v>
      </c>
      <c r="Q76" s="1">
        <f t="shared" si="10"/>
        <v>4.1808007248044813E-3</v>
      </c>
      <c r="R76" s="1">
        <f t="shared" si="11"/>
        <v>239.18863055755088</v>
      </c>
      <c r="S76" s="5">
        <f t="shared" si="12"/>
        <v>3.9864771759591813</v>
      </c>
      <c r="T76" s="9" t="s">
        <v>21</v>
      </c>
      <c r="U76" s="1">
        <f t="shared" si="13"/>
        <v>7.8000000000000014E-2</v>
      </c>
    </row>
    <row r="77" spans="1:21" x14ac:dyDescent="0.2">
      <c r="A77" s="1">
        <v>4</v>
      </c>
      <c r="B77" s="1" t="s">
        <v>17</v>
      </c>
      <c r="C77" s="1" t="s">
        <v>22</v>
      </c>
      <c r="D77" s="2">
        <v>45827</v>
      </c>
      <c r="E77" s="1">
        <v>3.2</v>
      </c>
      <c r="F77" s="1">
        <v>2.4</v>
      </c>
      <c r="G77" s="3">
        <v>0.4513888888888889</v>
      </c>
      <c r="H77" s="1" t="s">
        <v>56</v>
      </c>
      <c r="I77" s="11">
        <v>10.8</v>
      </c>
      <c r="J77" s="1">
        <v>10.3</v>
      </c>
      <c r="K77" s="1">
        <v>10.1</v>
      </c>
      <c r="L77" s="4">
        <v>12</v>
      </c>
      <c r="M77" s="1">
        <f t="shared" si="7"/>
        <v>10.8</v>
      </c>
      <c r="N77" s="1">
        <v>6.3</v>
      </c>
      <c r="O77" s="1">
        <f t="shared" si="8"/>
        <v>3.15</v>
      </c>
      <c r="P77" s="1">
        <f t="shared" si="9"/>
        <v>336.66249353664301</v>
      </c>
      <c r="Q77" s="1">
        <f t="shared" si="10"/>
        <v>7.1288012358845642E-3</v>
      </c>
      <c r="R77" s="1">
        <f t="shared" si="11"/>
        <v>140.27603897360126</v>
      </c>
      <c r="S77" s="5">
        <f t="shared" si="12"/>
        <v>2.3379339828933543</v>
      </c>
      <c r="T77" s="9" t="s">
        <v>22</v>
      </c>
      <c r="U77" s="1">
        <f t="shared" si="13"/>
        <v>0.14399999999999999</v>
      </c>
    </row>
    <row r="78" spans="1:21" x14ac:dyDescent="0.2">
      <c r="A78" s="1">
        <v>5</v>
      </c>
      <c r="B78" s="1" t="s">
        <v>17</v>
      </c>
      <c r="C78" s="1" t="s">
        <v>23</v>
      </c>
      <c r="D78" s="2">
        <v>45827</v>
      </c>
      <c r="E78" s="1">
        <v>3.2</v>
      </c>
      <c r="F78" s="1">
        <v>1.3</v>
      </c>
      <c r="G78" s="3">
        <v>0.4513888888888889</v>
      </c>
      <c r="H78" s="1" t="s">
        <v>56</v>
      </c>
      <c r="I78" s="11">
        <v>15.1</v>
      </c>
      <c r="J78" s="1">
        <v>14.8</v>
      </c>
      <c r="K78" s="1">
        <v>14.4</v>
      </c>
      <c r="L78" s="1">
        <v>14.1</v>
      </c>
      <c r="M78" s="16">
        <f t="shared" si="7"/>
        <v>14.6</v>
      </c>
      <c r="N78" s="1">
        <v>6.3</v>
      </c>
      <c r="O78" s="1">
        <f t="shared" si="8"/>
        <v>3.15</v>
      </c>
      <c r="P78" s="1">
        <f t="shared" si="9"/>
        <v>455.1178153365729</v>
      </c>
      <c r="Q78" s="1">
        <f t="shared" si="10"/>
        <v>2.8564032349263501E-3</v>
      </c>
      <c r="R78" s="1">
        <f t="shared" si="11"/>
        <v>350.09062718197913</v>
      </c>
      <c r="S78" s="5">
        <f t="shared" si="12"/>
        <v>5.834843786366319</v>
      </c>
      <c r="T78" s="9" t="s">
        <v>23</v>
      </c>
      <c r="U78" s="1">
        <f t="shared" si="13"/>
        <v>7.8000000000000014E-2</v>
      </c>
    </row>
    <row r="79" spans="1:21" x14ac:dyDescent="0.2">
      <c r="A79" s="1">
        <v>6</v>
      </c>
      <c r="B79" s="1" t="s">
        <v>17</v>
      </c>
      <c r="C79" s="1" t="s">
        <v>24</v>
      </c>
      <c r="D79" s="2">
        <v>45827</v>
      </c>
      <c r="E79" s="1">
        <v>3.2</v>
      </c>
      <c r="F79" s="1">
        <v>0.8</v>
      </c>
      <c r="G79" s="3">
        <v>0.4513888888888889</v>
      </c>
      <c r="H79" s="1" t="s">
        <v>56</v>
      </c>
      <c r="I79" s="11">
        <v>13.6</v>
      </c>
      <c r="J79" s="1">
        <v>13.2</v>
      </c>
      <c r="K79" s="1">
        <v>13.1</v>
      </c>
      <c r="L79" s="1">
        <v>12.8</v>
      </c>
      <c r="M79" s="1">
        <f t="shared" si="7"/>
        <v>13.175000000000001</v>
      </c>
      <c r="N79" s="1">
        <v>6.3</v>
      </c>
      <c r="O79" s="1">
        <f t="shared" si="8"/>
        <v>3.15</v>
      </c>
      <c r="P79" s="1">
        <f t="shared" si="9"/>
        <v>410.69706966159919</v>
      </c>
      <c r="Q79" s="1">
        <f t="shared" si="10"/>
        <v>1.9479077380785152E-3</v>
      </c>
      <c r="R79" s="1">
        <f t="shared" si="11"/>
        <v>513.371337076999</v>
      </c>
      <c r="S79" s="5">
        <f t="shared" si="12"/>
        <v>8.5561889512833158</v>
      </c>
      <c r="T79" s="9" t="s">
        <v>24</v>
      </c>
      <c r="U79" s="1">
        <f t="shared" si="13"/>
        <v>4.8000000000000001E-2</v>
      </c>
    </row>
    <row r="80" spans="1:21" x14ac:dyDescent="0.2">
      <c r="A80" s="1">
        <v>7</v>
      </c>
      <c r="B80" s="1" t="s">
        <v>17</v>
      </c>
      <c r="C80" s="1" t="s">
        <v>31</v>
      </c>
      <c r="D80" s="2">
        <v>45827</v>
      </c>
      <c r="E80" s="1">
        <v>3.2</v>
      </c>
      <c r="F80" s="1">
        <v>0.7</v>
      </c>
      <c r="G80" s="3">
        <v>0.4513888888888889</v>
      </c>
      <c r="H80" s="1" t="s">
        <v>56</v>
      </c>
      <c r="I80" s="11" t="s">
        <v>36</v>
      </c>
      <c r="J80" s="1" t="s">
        <v>36</v>
      </c>
      <c r="K80" s="1" t="s">
        <v>36</v>
      </c>
      <c r="L80" s="1" t="s">
        <v>36</v>
      </c>
      <c r="M80" s="1" t="s">
        <v>36</v>
      </c>
      <c r="N80" s="1" t="s">
        <v>36</v>
      </c>
      <c r="O80" s="1" t="s">
        <v>36</v>
      </c>
      <c r="P80" s="1" t="s">
        <v>36</v>
      </c>
      <c r="Q80" s="1" t="s">
        <v>36</v>
      </c>
      <c r="R80" s="1">
        <v>0</v>
      </c>
      <c r="S80" s="5">
        <f t="shared" si="12"/>
        <v>0</v>
      </c>
      <c r="T80" s="9" t="s">
        <v>31</v>
      </c>
      <c r="U80" s="1">
        <f t="shared" si="13"/>
        <v>4.2000000000000003E-2</v>
      </c>
    </row>
    <row r="81" spans="1:21" x14ac:dyDescent="0.2">
      <c r="A81" s="1">
        <v>8</v>
      </c>
      <c r="B81" s="1" t="s">
        <v>17</v>
      </c>
      <c r="C81" s="1" t="s">
        <v>25</v>
      </c>
      <c r="D81" s="2">
        <v>45827</v>
      </c>
      <c r="E81" s="1">
        <v>3.2</v>
      </c>
      <c r="F81" s="1">
        <v>0.7</v>
      </c>
      <c r="G81" s="3">
        <v>0.4513888888888889</v>
      </c>
      <c r="H81" s="1" t="s">
        <v>56</v>
      </c>
      <c r="I81" s="11">
        <v>11.7</v>
      </c>
      <c r="J81" s="1">
        <v>11.2</v>
      </c>
      <c r="K81" s="4">
        <v>11</v>
      </c>
      <c r="L81" s="1">
        <v>11.9</v>
      </c>
      <c r="M81" s="1">
        <f t="shared" si="7"/>
        <v>11.45</v>
      </c>
      <c r="N81" s="1">
        <v>6.3</v>
      </c>
      <c r="O81" s="1">
        <f t="shared" si="8"/>
        <v>3.15</v>
      </c>
      <c r="P81" s="1">
        <f t="shared" si="9"/>
        <v>356.92458805505203</v>
      </c>
      <c r="Q81" s="1">
        <f t="shared" si="10"/>
        <v>1.9611985932782867E-3</v>
      </c>
      <c r="R81" s="1">
        <f t="shared" si="11"/>
        <v>509.8922686500743</v>
      </c>
      <c r="S81" s="5">
        <f t="shared" si="12"/>
        <v>8.498204477501238</v>
      </c>
      <c r="T81" s="9" t="s">
        <v>25</v>
      </c>
      <c r="U81" s="1">
        <f t="shared" si="13"/>
        <v>4.2000000000000003E-2</v>
      </c>
    </row>
    <row r="82" spans="1:21" x14ac:dyDescent="0.2">
      <c r="A82" s="1">
        <v>9</v>
      </c>
      <c r="B82" s="1" t="s">
        <v>17</v>
      </c>
      <c r="C82" s="1" t="s">
        <v>32</v>
      </c>
      <c r="D82" s="2">
        <v>45827</v>
      </c>
      <c r="E82" s="1">
        <v>3.2</v>
      </c>
      <c r="F82" s="1">
        <v>0.7</v>
      </c>
      <c r="G82" s="3">
        <v>0.4513888888888889</v>
      </c>
      <c r="H82" s="1" t="s">
        <v>56</v>
      </c>
      <c r="I82" s="11" t="s">
        <v>36</v>
      </c>
      <c r="J82" s="1" t="s">
        <v>36</v>
      </c>
      <c r="K82" s="1" t="s">
        <v>36</v>
      </c>
      <c r="L82" s="1" t="s">
        <v>36</v>
      </c>
      <c r="M82" s="1" t="s">
        <v>36</v>
      </c>
      <c r="N82" s="1" t="s">
        <v>36</v>
      </c>
      <c r="O82" s="1" t="s">
        <v>36</v>
      </c>
      <c r="P82" s="1" t="s">
        <v>36</v>
      </c>
      <c r="Q82" s="1" t="s">
        <v>36</v>
      </c>
      <c r="R82" s="1">
        <v>0</v>
      </c>
      <c r="S82" s="5">
        <f t="shared" si="12"/>
        <v>0</v>
      </c>
      <c r="T82" s="9" t="s">
        <v>32</v>
      </c>
      <c r="U82" s="1">
        <f t="shared" si="13"/>
        <v>4.2000000000000003E-2</v>
      </c>
    </row>
    <row r="83" spans="1:21" x14ac:dyDescent="0.2">
      <c r="A83" s="1">
        <v>10</v>
      </c>
      <c r="B83" s="1" t="s">
        <v>18</v>
      </c>
      <c r="C83" s="1" t="s">
        <v>26</v>
      </c>
      <c r="D83" s="2">
        <v>45827</v>
      </c>
      <c r="E83" s="1">
        <v>3.2</v>
      </c>
      <c r="F83" s="1">
        <v>1.2</v>
      </c>
      <c r="G83" s="3">
        <v>0.4513888888888889</v>
      </c>
      <c r="H83" s="1" t="s">
        <v>56</v>
      </c>
      <c r="I83" s="11">
        <v>10.1</v>
      </c>
      <c r="J83" s="4">
        <v>10</v>
      </c>
      <c r="K83" s="1">
        <v>11.1</v>
      </c>
      <c r="L83" s="1">
        <v>9.9</v>
      </c>
      <c r="M83" s="1">
        <f t="shared" si="7"/>
        <v>10.275</v>
      </c>
      <c r="N83" s="1">
        <v>6.3</v>
      </c>
      <c r="O83" s="1">
        <f t="shared" si="8"/>
        <v>3.15</v>
      </c>
      <c r="P83" s="1">
        <f t="shared" si="9"/>
        <v>320.29695565638951</v>
      </c>
      <c r="Q83" s="1">
        <f t="shared" si="10"/>
        <v>3.746523277253202E-3</v>
      </c>
      <c r="R83" s="1">
        <f t="shared" si="11"/>
        <v>266.91412971365793</v>
      </c>
      <c r="S83" s="5">
        <f t="shared" si="12"/>
        <v>4.4485688285609655</v>
      </c>
      <c r="T83" s="9" t="s">
        <v>26</v>
      </c>
      <c r="U83" s="1">
        <f t="shared" si="13"/>
        <v>7.1999999999999995E-2</v>
      </c>
    </row>
    <row r="84" spans="1:21" x14ac:dyDescent="0.2">
      <c r="A84" s="1">
        <v>11</v>
      </c>
      <c r="B84" s="1" t="s">
        <v>18</v>
      </c>
      <c r="C84" s="1" t="s">
        <v>27</v>
      </c>
      <c r="D84" s="2">
        <v>45827</v>
      </c>
      <c r="E84" s="1">
        <v>3.2</v>
      </c>
      <c r="F84" s="4">
        <v>1</v>
      </c>
      <c r="G84" s="3">
        <v>0.4513888888888889</v>
      </c>
      <c r="H84" s="1" t="s">
        <v>56</v>
      </c>
      <c r="I84" s="11">
        <v>11.6</v>
      </c>
      <c r="J84" s="1">
        <v>11.6</v>
      </c>
      <c r="K84" s="1">
        <v>11.5</v>
      </c>
      <c r="L84" s="1">
        <v>10.9</v>
      </c>
      <c r="M84" s="1">
        <f t="shared" si="7"/>
        <v>11.4</v>
      </c>
      <c r="N84" s="1">
        <v>6.3</v>
      </c>
      <c r="O84" s="1">
        <f t="shared" si="8"/>
        <v>3.15</v>
      </c>
      <c r="P84" s="1">
        <f t="shared" si="9"/>
        <v>355.36596539978984</v>
      </c>
      <c r="Q84" s="1">
        <f t="shared" si="10"/>
        <v>2.8140004878491704E-3</v>
      </c>
      <c r="R84" s="1">
        <f t="shared" si="11"/>
        <v>355.36596539978984</v>
      </c>
      <c r="S84" s="5">
        <f t="shared" si="12"/>
        <v>5.9227660899964976</v>
      </c>
      <c r="T84" s="9" t="s">
        <v>27</v>
      </c>
      <c r="U84" s="1">
        <f t="shared" si="13"/>
        <v>0.06</v>
      </c>
    </row>
    <row r="85" spans="1:21" x14ac:dyDescent="0.2">
      <c r="A85" s="1">
        <v>12</v>
      </c>
      <c r="B85" s="1" t="s">
        <v>18</v>
      </c>
      <c r="C85" s="1" t="s">
        <v>28</v>
      </c>
      <c r="D85" s="2">
        <v>45827</v>
      </c>
      <c r="E85" s="1">
        <v>3.2</v>
      </c>
      <c r="F85" s="1">
        <v>0.8</v>
      </c>
      <c r="G85" s="3">
        <v>0.4513888888888889</v>
      </c>
      <c r="H85" s="1" t="s">
        <v>56</v>
      </c>
      <c r="I85" s="12">
        <v>12</v>
      </c>
      <c r="J85" s="1">
        <v>11.7</v>
      </c>
      <c r="K85" s="1">
        <v>11.6</v>
      </c>
      <c r="L85" s="1">
        <v>11.8</v>
      </c>
      <c r="M85" s="1">
        <f t="shared" si="7"/>
        <v>11.774999999999999</v>
      </c>
      <c r="N85" s="1">
        <v>6.3</v>
      </c>
      <c r="O85" s="1">
        <f t="shared" si="8"/>
        <v>3.15</v>
      </c>
      <c r="P85" s="1">
        <f t="shared" si="9"/>
        <v>367.05563531425656</v>
      </c>
      <c r="Q85" s="1">
        <f t="shared" si="10"/>
        <v>2.1795061103341349E-3</v>
      </c>
      <c r="R85" s="1">
        <f t="shared" si="11"/>
        <v>458.81954414282069</v>
      </c>
      <c r="S85" s="5">
        <f t="shared" si="12"/>
        <v>7.6469924023803451</v>
      </c>
      <c r="T85" s="9" t="s">
        <v>28</v>
      </c>
      <c r="U85" s="1">
        <f t="shared" si="13"/>
        <v>4.8000000000000001E-2</v>
      </c>
    </row>
    <row r="86" spans="1:21" x14ac:dyDescent="0.2">
      <c r="A86" s="1">
        <v>13</v>
      </c>
      <c r="B86" s="1" t="s">
        <v>18</v>
      </c>
      <c r="C86" s="1" t="s">
        <v>33</v>
      </c>
      <c r="D86" s="2">
        <v>45827</v>
      </c>
      <c r="E86" s="1">
        <v>3.2</v>
      </c>
      <c r="F86" s="1">
        <v>0.7</v>
      </c>
      <c r="G86" s="3">
        <v>0.4513888888888889</v>
      </c>
      <c r="H86" s="1" t="s">
        <v>56</v>
      </c>
      <c r="I86" s="11" t="s">
        <v>36</v>
      </c>
      <c r="J86" s="1" t="s">
        <v>36</v>
      </c>
      <c r="K86" s="1" t="s">
        <v>36</v>
      </c>
      <c r="L86" s="1" t="s">
        <v>36</v>
      </c>
      <c r="M86" s="1" t="s">
        <v>36</v>
      </c>
      <c r="N86" s="1" t="s">
        <v>36</v>
      </c>
      <c r="O86" s="1" t="s">
        <v>36</v>
      </c>
      <c r="P86" s="1" t="s">
        <v>36</v>
      </c>
      <c r="Q86" s="1" t="s">
        <v>36</v>
      </c>
      <c r="R86" s="1">
        <v>0</v>
      </c>
      <c r="S86" s="5">
        <f t="shared" si="12"/>
        <v>0</v>
      </c>
      <c r="T86" s="9" t="s">
        <v>33</v>
      </c>
      <c r="U86" s="1">
        <f t="shared" si="13"/>
        <v>4.2000000000000003E-2</v>
      </c>
    </row>
    <row r="87" spans="1:21" x14ac:dyDescent="0.2">
      <c r="A87" s="1">
        <v>14</v>
      </c>
      <c r="B87" s="1" t="s">
        <v>18</v>
      </c>
      <c r="C87" s="1" t="s">
        <v>34</v>
      </c>
      <c r="D87" s="2">
        <v>45827</v>
      </c>
      <c r="E87" s="1">
        <v>3.2</v>
      </c>
      <c r="F87" s="1">
        <v>1.4</v>
      </c>
      <c r="G87" s="3">
        <v>0.4513888888888889</v>
      </c>
      <c r="H87" s="1" t="s">
        <v>56</v>
      </c>
      <c r="I87" s="11" t="s">
        <v>36</v>
      </c>
      <c r="J87" s="1" t="s">
        <v>36</v>
      </c>
      <c r="K87" s="1" t="s">
        <v>36</v>
      </c>
      <c r="L87" s="1" t="s">
        <v>36</v>
      </c>
      <c r="M87" s="1" t="s">
        <v>36</v>
      </c>
      <c r="N87" s="1" t="s">
        <v>36</v>
      </c>
      <c r="O87" s="1" t="s">
        <v>36</v>
      </c>
      <c r="P87" s="1" t="s">
        <v>36</v>
      </c>
      <c r="Q87" s="1" t="s">
        <v>36</v>
      </c>
      <c r="R87" s="1">
        <v>0</v>
      </c>
      <c r="S87" s="5">
        <f t="shared" si="12"/>
        <v>0</v>
      </c>
      <c r="T87" s="9" t="s">
        <v>34</v>
      </c>
      <c r="U87" s="1">
        <f t="shared" si="13"/>
        <v>8.4000000000000005E-2</v>
      </c>
    </row>
    <row r="88" spans="1:21" x14ac:dyDescent="0.2">
      <c r="A88" s="1">
        <v>15</v>
      </c>
      <c r="B88" s="1" t="s">
        <v>18</v>
      </c>
      <c r="C88" s="1" t="s">
        <v>29</v>
      </c>
      <c r="D88" s="2">
        <v>45827</v>
      </c>
      <c r="E88" s="1">
        <v>3.2</v>
      </c>
      <c r="F88" s="1">
        <v>0.7</v>
      </c>
      <c r="G88" s="3">
        <v>0.4513888888888889</v>
      </c>
      <c r="H88" s="1" t="s">
        <v>56</v>
      </c>
      <c r="I88" s="11">
        <v>11.2</v>
      </c>
      <c r="J88" s="1">
        <v>10.7</v>
      </c>
      <c r="K88" s="1">
        <v>10.4</v>
      </c>
      <c r="L88" s="1">
        <v>9.6999999999999993</v>
      </c>
      <c r="M88" s="1">
        <f t="shared" si="7"/>
        <v>10.5</v>
      </c>
      <c r="N88" s="1">
        <v>6.3</v>
      </c>
      <c r="O88" s="1">
        <f t="shared" si="8"/>
        <v>3.15</v>
      </c>
      <c r="P88" s="1">
        <f t="shared" si="9"/>
        <v>327.31075760506957</v>
      </c>
      <c r="Q88" s="1">
        <f t="shared" si="10"/>
        <v>2.1386403707653696E-3</v>
      </c>
      <c r="R88" s="1">
        <f t="shared" si="11"/>
        <v>467.58679657867083</v>
      </c>
      <c r="S88" s="5">
        <f t="shared" si="12"/>
        <v>7.7931132763111801</v>
      </c>
      <c r="T88" s="9" t="s">
        <v>29</v>
      </c>
      <c r="U88" s="1">
        <f t="shared" si="13"/>
        <v>4.2000000000000003E-2</v>
      </c>
    </row>
    <row r="89" spans="1:21" x14ac:dyDescent="0.2">
      <c r="A89" s="1">
        <v>16</v>
      </c>
      <c r="B89" s="1" t="s">
        <v>18</v>
      </c>
      <c r="C89" s="1" t="s">
        <v>30</v>
      </c>
      <c r="D89" s="2">
        <v>45827</v>
      </c>
      <c r="E89" s="1">
        <v>3.2</v>
      </c>
      <c r="F89" s="1">
        <v>0.8</v>
      </c>
      <c r="G89" s="3">
        <v>0.4513888888888889</v>
      </c>
      <c r="H89" s="1" t="s">
        <v>56</v>
      </c>
      <c r="I89" s="11">
        <v>11.7</v>
      </c>
      <c r="J89" s="1">
        <v>11.3</v>
      </c>
      <c r="K89" s="4">
        <v>12</v>
      </c>
      <c r="L89" s="1">
        <v>12.3</v>
      </c>
      <c r="M89" s="1">
        <f t="shared" si="7"/>
        <v>11.824999999999999</v>
      </c>
      <c r="N89" s="1">
        <v>6.3</v>
      </c>
      <c r="O89" s="1">
        <f t="shared" si="8"/>
        <v>3.15</v>
      </c>
      <c r="P89" s="1">
        <f t="shared" si="9"/>
        <v>368.6142579695188</v>
      </c>
      <c r="Q89" s="1">
        <f t="shared" si="10"/>
        <v>2.1702904396773311E-3</v>
      </c>
      <c r="R89" s="1">
        <f t="shared" si="11"/>
        <v>460.76782246189845</v>
      </c>
      <c r="S89" s="5">
        <f t="shared" si="12"/>
        <v>7.6794637076983072</v>
      </c>
      <c r="T89" s="9" t="s">
        <v>30</v>
      </c>
      <c r="U89" s="1">
        <f t="shared" si="13"/>
        <v>4.8000000000000001E-2</v>
      </c>
    </row>
    <row r="90" spans="1:21" x14ac:dyDescent="0.2">
      <c r="A90" s="1">
        <v>17</v>
      </c>
      <c r="B90" s="1" t="s">
        <v>18</v>
      </c>
      <c r="C90" s="1" t="s">
        <v>35</v>
      </c>
      <c r="D90" s="2">
        <v>45827</v>
      </c>
      <c r="E90" s="1">
        <v>3.2</v>
      </c>
      <c r="F90" s="1">
        <v>0.8</v>
      </c>
      <c r="G90" s="3">
        <v>0.4513888888888889</v>
      </c>
      <c r="H90" s="1" t="s">
        <v>56</v>
      </c>
      <c r="I90" s="11" t="s">
        <v>36</v>
      </c>
      <c r="J90" s="1" t="s">
        <v>36</v>
      </c>
      <c r="K90" s="1" t="s">
        <v>36</v>
      </c>
      <c r="L90" s="1" t="s">
        <v>36</v>
      </c>
      <c r="M90" s="1" t="s">
        <v>36</v>
      </c>
      <c r="N90" s="1" t="s">
        <v>36</v>
      </c>
      <c r="O90" s="1" t="s">
        <v>36</v>
      </c>
      <c r="P90" s="1" t="s">
        <v>36</v>
      </c>
      <c r="Q90" s="1" t="s">
        <v>36</v>
      </c>
      <c r="R90" s="1">
        <v>0</v>
      </c>
      <c r="S90" s="5">
        <f t="shared" si="12"/>
        <v>0</v>
      </c>
      <c r="T90" s="9" t="s">
        <v>35</v>
      </c>
      <c r="U90" s="1">
        <f t="shared" si="13"/>
        <v>4.8000000000000001E-2</v>
      </c>
    </row>
    <row r="91" spans="1:2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7"/>
      <c r="T91" s="8"/>
      <c r="U91" s="8"/>
    </row>
    <row r="92" spans="1:21" x14ac:dyDescent="0.2">
      <c r="A92" t="s">
        <v>61</v>
      </c>
      <c r="F92" s="17">
        <f>AVERAGE(F2:F18,F20:F36,F38:F54,F56:F72,F74:F90)</f>
        <v>1.1117647058823532</v>
      </c>
    </row>
    <row r="93" spans="1:21" x14ac:dyDescent="0.2">
      <c r="A93" t="s">
        <v>59</v>
      </c>
      <c r="M93">
        <f>MAX(M2:M89)</f>
        <v>14.6</v>
      </c>
    </row>
    <row r="94" spans="1:21" x14ac:dyDescent="0.2">
      <c r="A94" t="s">
        <v>60</v>
      </c>
      <c r="M94">
        <f>MIN(M2:M89)</f>
        <v>9.9750000000000014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F0A9-29C7-9846-BA5D-3A8AF542A182}">
  <dimension ref="A1:T52"/>
  <sheetViews>
    <sheetView topLeftCell="F1" workbookViewId="0">
      <selection activeCell="A50" sqref="A50"/>
    </sheetView>
  </sheetViews>
  <sheetFormatPr baseColWidth="10" defaultRowHeight="16" x14ac:dyDescent="0.2"/>
  <cols>
    <col min="1" max="1" width="11.83203125" bestFit="1" customWidth="1"/>
    <col min="2" max="2" width="5.33203125" bestFit="1" customWidth="1"/>
    <col min="3" max="3" width="13.33203125" bestFit="1" customWidth="1"/>
    <col min="4" max="4" width="7.5" bestFit="1" customWidth="1"/>
    <col min="5" max="5" width="12" bestFit="1" customWidth="1"/>
    <col min="6" max="6" width="18" bestFit="1" customWidth="1"/>
    <col min="7" max="7" width="5.6640625" bestFit="1" customWidth="1"/>
    <col min="8" max="8" width="13.33203125" bestFit="1" customWidth="1"/>
    <col min="9" max="9" width="25" bestFit="1" customWidth="1"/>
    <col min="10" max="12" width="11.6640625" bestFit="1" customWidth="1"/>
    <col min="13" max="14" width="17.1640625" bestFit="1" customWidth="1"/>
    <col min="15" max="15" width="14.83203125" bestFit="1" customWidth="1"/>
    <col min="16" max="16" width="18.33203125" bestFit="1" customWidth="1"/>
    <col min="17" max="17" width="19.6640625" bestFit="1" customWidth="1"/>
    <col min="18" max="18" width="23.33203125" bestFit="1" customWidth="1"/>
    <col min="19" max="19" width="22" bestFit="1" customWidth="1"/>
    <col min="20" max="20" width="13.33203125" bestFit="1" customWidth="1"/>
  </cols>
  <sheetData>
    <row r="1" spans="1:20" x14ac:dyDescent="0.2">
      <c r="A1" s="1" t="s">
        <v>1</v>
      </c>
      <c r="B1" s="1" t="s">
        <v>16</v>
      </c>
      <c r="C1" s="1" t="s">
        <v>0</v>
      </c>
      <c r="D1" s="1" t="s">
        <v>15</v>
      </c>
      <c r="E1" s="1" t="s">
        <v>48</v>
      </c>
      <c r="F1" s="1" t="s">
        <v>49</v>
      </c>
      <c r="G1" s="9" t="s">
        <v>2</v>
      </c>
      <c r="H1" s="1" t="s">
        <v>42</v>
      </c>
      <c r="I1" s="11" t="s">
        <v>50</v>
      </c>
      <c r="J1" s="1" t="s">
        <v>39</v>
      </c>
      <c r="K1" s="1" t="s">
        <v>40</v>
      </c>
      <c r="L1" s="1" t="s">
        <v>41</v>
      </c>
      <c r="M1" s="1" t="s">
        <v>51</v>
      </c>
      <c r="N1" s="1" t="s">
        <v>52</v>
      </c>
      <c r="O1" s="1" t="s">
        <v>53</v>
      </c>
      <c r="P1" s="1" t="s">
        <v>37</v>
      </c>
      <c r="Q1" s="1" t="s">
        <v>38</v>
      </c>
      <c r="R1" s="1" t="s">
        <v>54</v>
      </c>
      <c r="S1" s="1" t="s">
        <v>55</v>
      </c>
      <c r="T1" s="1" t="s">
        <v>0</v>
      </c>
    </row>
    <row r="2" spans="1:20" x14ac:dyDescent="0.2">
      <c r="A2" s="1">
        <v>1</v>
      </c>
      <c r="B2" s="1" t="s">
        <v>17</v>
      </c>
      <c r="C2" s="1" t="s">
        <v>19</v>
      </c>
      <c r="D2" s="2">
        <v>45826</v>
      </c>
      <c r="E2" s="1">
        <v>2.7</v>
      </c>
      <c r="F2" s="1">
        <v>1.2</v>
      </c>
      <c r="G2" s="10">
        <v>0.64375000000000004</v>
      </c>
      <c r="H2" s="1" t="s">
        <v>43</v>
      </c>
      <c r="I2" s="11">
        <v>12.5</v>
      </c>
      <c r="J2" s="4">
        <v>11</v>
      </c>
      <c r="K2" s="1">
        <v>9.9</v>
      </c>
      <c r="L2" s="4">
        <v>10.1</v>
      </c>
      <c r="M2" s="1">
        <f t="shared" ref="M2:M19" si="0">AVERAGE(I2:L2)</f>
        <v>10.875</v>
      </c>
      <c r="N2" s="1">
        <v>6.3</v>
      </c>
      <c r="O2" s="1">
        <f t="shared" ref="O2:O19" si="1">N2/2</f>
        <v>3.15</v>
      </c>
      <c r="P2" s="1">
        <f t="shared" ref="P2:P19" si="2">PI()*(O2^2)*M2</f>
        <v>339.00042751953634</v>
      </c>
      <c r="Q2" s="1">
        <f t="shared" ref="Q2:Q19" si="3">F2/P2</f>
        <v>3.5398185447150943E-3</v>
      </c>
      <c r="R2" s="1">
        <f t="shared" ref="R2:R19" si="4">1/Q2</f>
        <v>282.50035626628028</v>
      </c>
      <c r="S2" s="5">
        <f t="shared" ref="S2:S33" si="5">R2/60</f>
        <v>4.7083392711046717</v>
      </c>
      <c r="T2" s="1" t="s">
        <v>19</v>
      </c>
    </row>
    <row r="3" spans="1:20" x14ac:dyDescent="0.2">
      <c r="A3" s="1">
        <v>1</v>
      </c>
      <c r="B3" s="1" t="s">
        <v>17</v>
      </c>
      <c r="C3" s="1" t="s">
        <v>19</v>
      </c>
      <c r="D3" s="2">
        <v>45826</v>
      </c>
      <c r="E3" s="1">
        <v>2.9</v>
      </c>
      <c r="F3" s="1">
        <v>1.2</v>
      </c>
      <c r="G3" s="10">
        <v>0.80208333333333337</v>
      </c>
      <c r="H3" s="1" t="s">
        <v>44</v>
      </c>
      <c r="I3" s="11">
        <v>12.5</v>
      </c>
      <c r="J3" s="4">
        <v>11</v>
      </c>
      <c r="K3" s="1">
        <v>9.9</v>
      </c>
      <c r="L3" s="4">
        <v>10.1</v>
      </c>
      <c r="M3" s="1">
        <f t="shared" si="0"/>
        <v>10.875</v>
      </c>
      <c r="N3" s="1">
        <v>6.3</v>
      </c>
      <c r="O3" s="1">
        <f t="shared" si="1"/>
        <v>3.15</v>
      </c>
      <c r="P3" s="1">
        <f t="shared" si="2"/>
        <v>339.00042751953634</v>
      </c>
      <c r="Q3" s="1">
        <f t="shared" si="3"/>
        <v>3.5398185447150943E-3</v>
      </c>
      <c r="R3" s="1">
        <f t="shared" si="4"/>
        <v>282.50035626628028</v>
      </c>
      <c r="S3" s="5">
        <f t="shared" si="5"/>
        <v>4.7083392711046717</v>
      </c>
      <c r="T3" s="1" t="s">
        <v>19</v>
      </c>
    </row>
    <row r="4" spans="1:20" x14ac:dyDescent="0.2">
      <c r="A4" s="1">
        <v>1</v>
      </c>
      <c r="B4" s="1" t="s">
        <v>17</v>
      </c>
      <c r="C4" s="1" t="s">
        <v>19</v>
      </c>
      <c r="D4" s="2">
        <v>45827</v>
      </c>
      <c r="E4" s="1">
        <v>3.2</v>
      </c>
      <c r="F4" s="1">
        <v>0.9</v>
      </c>
      <c r="G4" s="10">
        <v>0.4513888888888889</v>
      </c>
      <c r="H4" s="1" t="s">
        <v>45</v>
      </c>
      <c r="I4" s="11">
        <v>12.5</v>
      </c>
      <c r="J4" s="4">
        <v>11</v>
      </c>
      <c r="K4" s="1">
        <v>9.9</v>
      </c>
      <c r="L4" s="4">
        <v>10.1</v>
      </c>
      <c r="M4" s="1">
        <f t="shared" si="0"/>
        <v>10.875</v>
      </c>
      <c r="N4" s="1">
        <v>6.3</v>
      </c>
      <c r="O4" s="1">
        <f t="shared" si="1"/>
        <v>3.15</v>
      </c>
      <c r="P4" s="1">
        <f t="shared" si="2"/>
        <v>339.00042751953634</v>
      </c>
      <c r="Q4" s="1">
        <f t="shared" si="3"/>
        <v>2.6548639085363208E-3</v>
      </c>
      <c r="R4" s="1">
        <f t="shared" si="4"/>
        <v>376.6671416883737</v>
      </c>
      <c r="S4" s="5">
        <f t="shared" si="5"/>
        <v>6.2777856948062283</v>
      </c>
      <c r="T4" s="1" t="s">
        <v>19</v>
      </c>
    </row>
    <row r="5" spans="1:20" x14ac:dyDescent="0.2">
      <c r="A5" s="1">
        <v>2</v>
      </c>
      <c r="B5" s="1" t="s">
        <v>17</v>
      </c>
      <c r="C5" s="1" t="s">
        <v>20</v>
      </c>
      <c r="D5" s="2">
        <v>45826</v>
      </c>
      <c r="E5" s="1">
        <v>2.7</v>
      </c>
      <c r="F5" s="4">
        <v>1</v>
      </c>
      <c r="G5" s="10">
        <v>0.64375000000000004</v>
      </c>
      <c r="H5" s="1" t="s">
        <v>43</v>
      </c>
      <c r="I5" s="11">
        <v>11.6</v>
      </c>
      <c r="J5" s="1">
        <v>11.6</v>
      </c>
      <c r="K5" s="1">
        <v>11.2</v>
      </c>
      <c r="L5" s="1">
        <v>11.2</v>
      </c>
      <c r="M5" s="1">
        <f t="shared" si="0"/>
        <v>11.399999999999999</v>
      </c>
      <c r="N5" s="1">
        <v>6.3</v>
      </c>
      <c r="O5" s="1">
        <f t="shared" si="1"/>
        <v>3.15</v>
      </c>
      <c r="P5" s="1">
        <f t="shared" si="2"/>
        <v>355.36596539978979</v>
      </c>
      <c r="Q5" s="1">
        <f t="shared" si="3"/>
        <v>2.8140004878491709E-3</v>
      </c>
      <c r="R5" s="1">
        <f t="shared" si="4"/>
        <v>355.36596539978979</v>
      </c>
      <c r="S5" s="5">
        <f t="shared" si="5"/>
        <v>5.9227660899964967</v>
      </c>
      <c r="T5" s="1" t="s">
        <v>20</v>
      </c>
    </row>
    <row r="6" spans="1:20" x14ac:dyDescent="0.2">
      <c r="A6" s="1">
        <v>2</v>
      </c>
      <c r="B6" s="1" t="s">
        <v>17</v>
      </c>
      <c r="C6" s="1" t="s">
        <v>20</v>
      </c>
      <c r="D6" s="2">
        <v>45826</v>
      </c>
      <c r="E6" s="1">
        <v>2.9</v>
      </c>
      <c r="F6" s="1">
        <v>1.1000000000000001</v>
      </c>
      <c r="G6" s="10">
        <v>0.80208333333333337</v>
      </c>
      <c r="H6" s="1" t="s">
        <v>44</v>
      </c>
      <c r="I6" s="11">
        <v>11.6</v>
      </c>
      <c r="J6" s="1">
        <v>11.6</v>
      </c>
      <c r="K6" s="1">
        <v>11.2</v>
      </c>
      <c r="L6" s="1">
        <v>11.2</v>
      </c>
      <c r="M6" s="1">
        <f t="shared" si="0"/>
        <v>11.399999999999999</v>
      </c>
      <c r="N6" s="1">
        <v>6.3</v>
      </c>
      <c r="O6" s="1">
        <f t="shared" si="1"/>
        <v>3.15</v>
      </c>
      <c r="P6" s="1">
        <f t="shared" si="2"/>
        <v>355.36596539978979</v>
      </c>
      <c r="Q6" s="1">
        <f t="shared" si="3"/>
        <v>3.0954005366340882E-3</v>
      </c>
      <c r="R6" s="1">
        <f t="shared" si="4"/>
        <v>323.05996854526342</v>
      </c>
      <c r="S6" s="5">
        <f t="shared" si="5"/>
        <v>5.3843328090877236</v>
      </c>
      <c r="T6" s="1" t="s">
        <v>20</v>
      </c>
    </row>
    <row r="7" spans="1:20" x14ac:dyDescent="0.2">
      <c r="A7" s="1">
        <v>2</v>
      </c>
      <c r="B7" s="1" t="s">
        <v>17</v>
      </c>
      <c r="C7" s="1" t="s">
        <v>20</v>
      </c>
      <c r="D7" s="2">
        <v>45827</v>
      </c>
      <c r="E7" s="1">
        <v>3.2</v>
      </c>
      <c r="F7" s="1">
        <v>0.9</v>
      </c>
      <c r="G7" s="10">
        <v>0.4513888888888889</v>
      </c>
      <c r="H7" s="1" t="s">
        <v>45</v>
      </c>
      <c r="I7" s="11">
        <v>11.6</v>
      </c>
      <c r="J7" s="1">
        <v>11.6</v>
      </c>
      <c r="K7" s="1">
        <v>11.2</v>
      </c>
      <c r="L7" s="1">
        <v>11.2</v>
      </c>
      <c r="M7" s="1">
        <f t="shared" si="0"/>
        <v>11.399999999999999</v>
      </c>
      <c r="N7" s="1">
        <v>6.3</v>
      </c>
      <c r="O7" s="1">
        <f t="shared" si="1"/>
        <v>3.15</v>
      </c>
      <c r="P7" s="1">
        <f t="shared" si="2"/>
        <v>355.36596539978979</v>
      </c>
      <c r="Q7" s="1">
        <f t="shared" si="3"/>
        <v>2.5326004390642536E-3</v>
      </c>
      <c r="R7" s="1">
        <f t="shared" si="4"/>
        <v>394.85107266643314</v>
      </c>
      <c r="S7" s="5">
        <f t="shared" si="5"/>
        <v>6.5808512111072188</v>
      </c>
      <c r="T7" s="1" t="s">
        <v>20</v>
      </c>
    </row>
    <row r="8" spans="1:20" x14ac:dyDescent="0.2">
      <c r="A8" s="1">
        <v>3</v>
      </c>
      <c r="B8" s="1" t="s">
        <v>17</v>
      </c>
      <c r="C8" s="1" t="s">
        <v>21</v>
      </c>
      <c r="D8" s="2">
        <v>45826</v>
      </c>
      <c r="E8" s="1">
        <v>2.7</v>
      </c>
      <c r="F8" s="1">
        <v>1.7</v>
      </c>
      <c r="G8" s="10">
        <v>0.64375000000000004</v>
      </c>
      <c r="H8" s="1" t="s">
        <v>43</v>
      </c>
      <c r="I8" s="12">
        <v>10</v>
      </c>
      <c r="J8" s="1">
        <v>10.199999999999999</v>
      </c>
      <c r="K8" s="1">
        <v>10.9</v>
      </c>
      <c r="L8" s="1">
        <v>8.8000000000000007</v>
      </c>
      <c r="M8" s="1">
        <f t="shared" si="0"/>
        <v>9.9750000000000014</v>
      </c>
      <c r="N8" s="1">
        <v>6.3</v>
      </c>
      <c r="O8" s="1">
        <f t="shared" si="1"/>
        <v>3.15</v>
      </c>
      <c r="P8" s="1">
        <f t="shared" si="2"/>
        <v>310.94521972481613</v>
      </c>
      <c r="Q8" s="1">
        <f t="shared" si="3"/>
        <v>5.4672009478212444E-3</v>
      </c>
      <c r="R8" s="1">
        <f t="shared" si="4"/>
        <v>182.90895277930363</v>
      </c>
      <c r="S8" s="5">
        <f t="shared" si="5"/>
        <v>3.0484825463217273</v>
      </c>
      <c r="T8" s="1" t="s">
        <v>21</v>
      </c>
    </row>
    <row r="9" spans="1:20" x14ac:dyDescent="0.2">
      <c r="A9" s="1">
        <v>3</v>
      </c>
      <c r="B9" s="1" t="s">
        <v>17</v>
      </c>
      <c r="C9" s="1" t="s">
        <v>21</v>
      </c>
      <c r="D9" s="2">
        <v>45826</v>
      </c>
      <c r="E9" s="1">
        <v>2.9</v>
      </c>
      <c r="F9" s="1">
        <v>1.3</v>
      </c>
      <c r="G9" s="10">
        <v>0.80208333333333337</v>
      </c>
      <c r="H9" s="1" t="s">
        <v>44</v>
      </c>
      <c r="I9" s="12">
        <v>10</v>
      </c>
      <c r="J9" s="1">
        <v>10.199999999999999</v>
      </c>
      <c r="K9" s="1">
        <v>10.9</v>
      </c>
      <c r="L9" s="1">
        <v>8.8000000000000007</v>
      </c>
      <c r="M9" s="1">
        <f t="shared" si="0"/>
        <v>9.9750000000000014</v>
      </c>
      <c r="N9" s="1">
        <v>6.3</v>
      </c>
      <c r="O9" s="1">
        <f t="shared" si="1"/>
        <v>3.15</v>
      </c>
      <c r="P9" s="1">
        <f t="shared" si="2"/>
        <v>310.94521972481613</v>
      </c>
      <c r="Q9" s="1">
        <f t="shared" si="3"/>
        <v>4.1808007248044813E-3</v>
      </c>
      <c r="R9" s="1">
        <f t="shared" si="4"/>
        <v>239.18863055755088</v>
      </c>
      <c r="S9" s="5">
        <f t="shared" si="5"/>
        <v>3.9864771759591813</v>
      </c>
      <c r="T9" s="1" t="s">
        <v>21</v>
      </c>
    </row>
    <row r="10" spans="1:20" x14ac:dyDescent="0.2">
      <c r="A10" s="1">
        <v>3</v>
      </c>
      <c r="B10" s="1" t="s">
        <v>17</v>
      </c>
      <c r="C10" s="1" t="s">
        <v>21</v>
      </c>
      <c r="D10" s="2">
        <v>45827</v>
      </c>
      <c r="E10" s="1">
        <v>3.2</v>
      </c>
      <c r="F10" s="1">
        <v>1.3</v>
      </c>
      <c r="G10" s="10">
        <v>0.4513888888888889</v>
      </c>
      <c r="H10" s="1" t="s">
        <v>45</v>
      </c>
      <c r="I10" s="12">
        <v>10</v>
      </c>
      <c r="J10" s="1">
        <v>10.199999999999999</v>
      </c>
      <c r="K10" s="1">
        <v>10.9</v>
      </c>
      <c r="L10" s="1">
        <v>8.8000000000000007</v>
      </c>
      <c r="M10" s="1">
        <f t="shared" si="0"/>
        <v>9.9750000000000014</v>
      </c>
      <c r="N10" s="1">
        <v>6.3</v>
      </c>
      <c r="O10" s="1">
        <f t="shared" si="1"/>
        <v>3.15</v>
      </c>
      <c r="P10" s="1">
        <f t="shared" si="2"/>
        <v>310.94521972481613</v>
      </c>
      <c r="Q10" s="1">
        <f t="shared" si="3"/>
        <v>4.1808007248044813E-3</v>
      </c>
      <c r="R10" s="1">
        <f t="shared" si="4"/>
        <v>239.18863055755088</v>
      </c>
      <c r="S10" s="5">
        <f t="shared" si="5"/>
        <v>3.9864771759591813</v>
      </c>
      <c r="T10" s="1" t="s">
        <v>21</v>
      </c>
    </row>
    <row r="11" spans="1:20" x14ac:dyDescent="0.2">
      <c r="A11" s="1">
        <v>4</v>
      </c>
      <c r="B11" s="1" t="s">
        <v>17</v>
      </c>
      <c r="C11" s="1" t="s">
        <v>22</v>
      </c>
      <c r="D11" s="2">
        <v>45826</v>
      </c>
      <c r="E11" s="1">
        <v>2.7</v>
      </c>
      <c r="F11" s="1">
        <v>1.6</v>
      </c>
      <c r="G11" s="10">
        <v>0.64375000000000004</v>
      </c>
      <c r="H11" s="1" t="s">
        <v>43</v>
      </c>
      <c r="I11" s="11">
        <v>10.8</v>
      </c>
      <c r="J11" s="1">
        <v>10.3</v>
      </c>
      <c r="K11" s="1">
        <v>10.1</v>
      </c>
      <c r="L11" s="4">
        <v>12</v>
      </c>
      <c r="M11" s="1">
        <f t="shared" si="0"/>
        <v>10.8</v>
      </c>
      <c r="N11" s="1">
        <v>6.3</v>
      </c>
      <c r="O11" s="1">
        <f t="shared" si="1"/>
        <v>3.15</v>
      </c>
      <c r="P11" s="1">
        <f t="shared" si="2"/>
        <v>336.66249353664301</v>
      </c>
      <c r="Q11" s="1">
        <f t="shared" si="3"/>
        <v>4.7525341572563764E-3</v>
      </c>
      <c r="R11" s="1">
        <f t="shared" si="4"/>
        <v>210.41405846040189</v>
      </c>
      <c r="S11" s="5">
        <f t="shared" si="5"/>
        <v>3.5069009743400317</v>
      </c>
      <c r="T11" s="1" t="s">
        <v>22</v>
      </c>
    </row>
    <row r="12" spans="1:20" x14ac:dyDescent="0.2">
      <c r="A12" s="1">
        <v>4</v>
      </c>
      <c r="B12" s="1" t="s">
        <v>17</v>
      </c>
      <c r="C12" s="1" t="s">
        <v>22</v>
      </c>
      <c r="D12" s="2">
        <v>45826</v>
      </c>
      <c r="E12" s="1">
        <v>2.9</v>
      </c>
      <c r="F12" s="1">
        <v>2.4</v>
      </c>
      <c r="G12" s="10">
        <v>0.80208333333333337</v>
      </c>
      <c r="H12" s="1" t="s">
        <v>44</v>
      </c>
      <c r="I12" s="11">
        <v>10.8</v>
      </c>
      <c r="J12" s="1">
        <v>10.3</v>
      </c>
      <c r="K12" s="1">
        <v>10.1</v>
      </c>
      <c r="L12" s="4">
        <v>12</v>
      </c>
      <c r="M12" s="1">
        <f t="shared" si="0"/>
        <v>10.8</v>
      </c>
      <c r="N12" s="1">
        <v>6.3</v>
      </c>
      <c r="O12" s="1">
        <f t="shared" si="1"/>
        <v>3.15</v>
      </c>
      <c r="P12" s="1">
        <f t="shared" si="2"/>
        <v>336.66249353664301</v>
      </c>
      <c r="Q12" s="1">
        <f t="shared" si="3"/>
        <v>7.1288012358845642E-3</v>
      </c>
      <c r="R12" s="1">
        <f t="shared" si="4"/>
        <v>140.27603897360126</v>
      </c>
      <c r="S12" s="5">
        <f t="shared" si="5"/>
        <v>2.3379339828933543</v>
      </c>
      <c r="T12" s="1" t="s">
        <v>22</v>
      </c>
    </row>
    <row r="13" spans="1:20" x14ac:dyDescent="0.2">
      <c r="A13" s="1">
        <v>4</v>
      </c>
      <c r="B13" s="1" t="s">
        <v>17</v>
      </c>
      <c r="C13" s="1" t="s">
        <v>22</v>
      </c>
      <c r="D13" s="2">
        <v>45827</v>
      </c>
      <c r="E13" s="1">
        <v>3.2</v>
      </c>
      <c r="F13" s="1">
        <v>2.4</v>
      </c>
      <c r="G13" s="10">
        <v>0.4513888888888889</v>
      </c>
      <c r="H13" s="1" t="s">
        <v>45</v>
      </c>
      <c r="I13" s="11">
        <v>10.8</v>
      </c>
      <c r="J13" s="1">
        <v>10.3</v>
      </c>
      <c r="K13" s="1">
        <v>10.1</v>
      </c>
      <c r="L13" s="4">
        <v>12</v>
      </c>
      <c r="M13" s="1">
        <f t="shared" si="0"/>
        <v>10.8</v>
      </c>
      <c r="N13" s="1">
        <v>6.3</v>
      </c>
      <c r="O13" s="1">
        <f t="shared" si="1"/>
        <v>3.15</v>
      </c>
      <c r="P13" s="1">
        <f t="shared" si="2"/>
        <v>336.66249353664301</v>
      </c>
      <c r="Q13" s="1">
        <f t="shared" si="3"/>
        <v>7.1288012358845642E-3</v>
      </c>
      <c r="R13" s="1">
        <f t="shared" si="4"/>
        <v>140.27603897360126</v>
      </c>
      <c r="S13" s="5">
        <f t="shared" si="5"/>
        <v>2.3379339828933543</v>
      </c>
      <c r="T13" s="1" t="s">
        <v>22</v>
      </c>
    </row>
    <row r="14" spans="1:20" x14ac:dyDescent="0.2">
      <c r="A14" s="1">
        <v>5</v>
      </c>
      <c r="B14" s="1" t="s">
        <v>17</v>
      </c>
      <c r="C14" s="1" t="s">
        <v>23</v>
      </c>
      <c r="D14" s="2">
        <v>45826</v>
      </c>
      <c r="E14" s="1">
        <v>2.7</v>
      </c>
      <c r="F14" s="1">
        <v>0.9</v>
      </c>
      <c r="G14" s="10">
        <v>0.64375000000000004</v>
      </c>
      <c r="H14" s="1" t="s">
        <v>43</v>
      </c>
      <c r="I14" s="11">
        <v>15.1</v>
      </c>
      <c r="J14" s="1">
        <v>14.8</v>
      </c>
      <c r="K14" s="1">
        <v>14.4</v>
      </c>
      <c r="L14" s="1">
        <v>14.1</v>
      </c>
      <c r="M14" s="1">
        <f t="shared" si="0"/>
        <v>14.6</v>
      </c>
      <c r="N14" s="1">
        <v>6.3</v>
      </c>
      <c r="O14" s="1">
        <f t="shared" si="1"/>
        <v>3.15</v>
      </c>
      <c r="P14" s="1">
        <f t="shared" si="2"/>
        <v>455.1178153365729</v>
      </c>
      <c r="Q14" s="1">
        <f t="shared" si="3"/>
        <v>1.9775099318720883E-3</v>
      </c>
      <c r="R14" s="1">
        <f t="shared" si="4"/>
        <v>505.68646148508105</v>
      </c>
      <c r="S14" s="5">
        <f t="shared" si="5"/>
        <v>8.4281076914180169</v>
      </c>
      <c r="T14" s="1" t="s">
        <v>23</v>
      </c>
    </row>
    <row r="15" spans="1:20" x14ac:dyDescent="0.2">
      <c r="A15" s="1">
        <v>5</v>
      </c>
      <c r="B15" s="1" t="s">
        <v>17</v>
      </c>
      <c r="C15" s="1" t="s">
        <v>23</v>
      </c>
      <c r="D15" s="2">
        <v>45826</v>
      </c>
      <c r="E15" s="1">
        <v>2.9</v>
      </c>
      <c r="F15" s="1">
        <v>1.2</v>
      </c>
      <c r="G15" s="10">
        <v>0.80208333333333337</v>
      </c>
      <c r="H15" s="1" t="s">
        <v>44</v>
      </c>
      <c r="I15" s="11">
        <v>15.1</v>
      </c>
      <c r="J15" s="1">
        <v>14.8</v>
      </c>
      <c r="K15" s="1">
        <v>14.4</v>
      </c>
      <c r="L15" s="1">
        <v>14.1</v>
      </c>
      <c r="M15" s="1">
        <f t="shared" si="0"/>
        <v>14.6</v>
      </c>
      <c r="N15" s="1">
        <v>6.3</v>
      </c>
      <c r="O15" s="1">
        <f t="shared" si="1"/>
        <v>3.15</v>
      </c>
      <c r="P15" s="1">
        <f t="shared" si="2"/>
        <v>455.1178153365729</v>
      </c>
      <c r="Q15" s="1">
        <f t="shared" si="3"/>
        <v>2.6366799091627844E-3</v>
      </c>
      <c r="R15" s="1">
        <f t="shared" si="4"/>
        <v>379.26484611381079</v>
      </c>
      <c r="S15" s="5">
        <f t="shared" si="5"/>
        <v>6.3210807685635135</v>
      </c>
      <c r="T15" s="1" t="s">
        <v>23</v>
      </c>
    </row>
    <row r="16" spans="1:20" x14ac:dyDescent="0.2">
      <c r="A16" s="1">
        <v>5</v>
      </c>
      <c r="B16" s="1" t="s">
        <v>17</v>
      </c>
      <c r="C16" s="1" t="s">
        <v>23</v>
      </c>
      <c r="D16" s="2">
        <v>45827</v>
      </c>
      <c r="E16" s="1">
        <v>3.2</v>
      </c>
      <c r="F16" s="1">
        <v>1.3</v>
      </c>
      <c r="G16" s="10">
        <v>0.4513888888888889</v>
      </c>
      <c r="H16" s="1" t="s">
        <v>45</v>
      </c>
      <c r="I16" s="11">
        <v>15.1</v>
      </c>
      <c r="J16" s="1">
        <v>14.8</v>
      </c>
      <c r="K16" s="1">
        <v>14.4</v>
      </c>
      <c r="L16" s="1">
        <v>14.1</v>
      </c>
      <c r="M16" s="1">
        <f t="shared" si="0"/>
        <v>14.6</v>
      </c>
      <c r="N16" s="1">
        <v>6.3</v>
      </c>
      <c r="O16" s="1">
        <f t="shared" si="1"/>
        <v>3.15</v>
      </c>
      <c r="P16" s="1">
        <f t="shared" si="2"/>
        <v>455.1178153365729</v>
      </c>
      <c r="Q16" s="1">
        <f t="shared" si="3"/>
        <v>2.8564032349263501E-3</v>
      </c>
      <c r="R16" s="1">
        <f t="shared" si="4"/>
        <v>350.09062718197913</v>
      </c>
      <c r="S16" s="5">
        <f t="shared" si="5"/>
        <v>5.834843786366319</v>
      </c>
      <c r="T16" s="1" t="s">
        <v>23</v>
      </c>
    </row>
    <row r="17" spans="1:20" x14ac:dyDescent="0.2">
      <c r="A17" s="1">
        <v>6</v>
      </c>
      <c r="B17" s="1" t="s">
        <v>17</v>
      </c>
      <c r="C17" s="1" t="s">
        <v>24</v>
      </c>
      <c r="D17" s="2">
        <v>45826</v>
      </c>
      <c r="E17" s="1">
        <v>2.7</v>
      </c>
      <c r="F17" s="1">
        <v>0.9</v>
      </c>
      <c r="G17" s="10">
        <v>0.64375000000000004</v>
      </c>
      <c r="H17" s="1" t="s">
        <v>43</v>
      </c>
      <c r="I17" s="11">
        <v>13.6</v>
      </c>
      <c r="J17" s="1">
        <v>13.2</v>
      </c>
      <c r="K17" s="1">
        <v>13.1</v>
      </c>
      <c r="L17" s="1">
        <v>12.8</v>
      </c>
      <c r="M17" s="1">
        <f t="shared" si="0"/>
        <v>13.175000000000001</v>
      </c>
      <c r="N17" s="1">
        <v>6.3</v>
      </c>
      <c r="O17" s="1">
        <f t="shared" si="1"/>
        <v>3.15</v>
      </c>
      <c r="P17" s="1">
        <f t="shared" si="2"/>
        <v>410.69706966159919</v>
      </c>
      <c r="Q17" s="1">
        <f t="shared" si="3"/>
        <v>2.1913962053383296E-3</v>
      </c>
      <c r="R17" s="1">
        <f t="shared" si="4"/>
        <v>456.3300774017768</v>
      </c>
      <c r="S17" s="5">
        <f t="shared" si="5"/>
        <v>7.6055012900296131</v>
      </c>
      <c r="T17" s="1" t="s">
        <v>24</v>
      </c>
    </row>
    <row r="18" spans="1:20" x14ac:dyDescent="0.2">
      <c r="A18" s="1">
        <v>6</v>
      </c>
      <c r="B18" s="1" t="s">
        <v>17</v>
      </c>
      <c r="C18" s="1" t="s">
        <v>24</v>
      </c>
      <c r="D18" s="2">
        <v>45826</v>
      </c>
      <c r="E18" s="1">
        <v>2.9</v>
      </c>
      <c r="F18" s="1">
        <v>0.5</v>
      </c>
      <c r="G18" s="10">
        <v>0.80208333333333337</v>
      </c>
      <c r="H18" s="1" t="s">
        <v>44</v>
      </c>
      <c r="I18" s="11">
        <v>13.6</v>
      </c>
      <c r="J18" s="1">
        <v>13.2</v>
      </c>
      <c r="K18" s="1">
        <v>13.1</v>
      </c>
      <c r="L18" s="1">
        <v>12.8</v>
      </c>
      <c r="M18" s="1">
        <f t="shared" si="0"/>
        <v>13.175000000000001</v>
      </c>
      <c r="N18" s="1">
        <v>6.3</v>
      </c>
      <c r="O18" s="1">
        <f t="shared" si="1"/>
        <v>3.15</v>
      </c>
      <c r="P18" s="1">
        <f t="shared" si="2"/>
        <v>410.69706966159919</v>
      </c>
      <c r="Q18" s="1">
        <f t="shared" si="3"/>
        <v>1.2174423362990719E-3</v>
      </c>
      <c r="R18" s="1">
        <f t="shared" si="4"/>
        <v>821.39413932319837</v>
      </c>
      <c r="S18" s="5">
        <f t="shared" si="5"/>
        <v>13.689902322053307</v>
      </c>
      <c r="T18" s="1" t="s">
        <v>24</v>
      </c>
    </row>
    <row r="19" spans="1:20" x14ac:dyDescent="0.2">
      <c r="A19" s="1">
        <v>6</v>
      </c>
      <c r="B19" s="1" t="s">
        <v>17</v>
      </c>
      <c r="C19" s="1" t="s">
        <v>24</v>
      </c>
      <c r="D19" s="2">
        <v>45827</v>
      </c>
      <c r="E19" s="1">
        <v>3.2</v>
      </c>
      <c r="F19" s="1">
        <v>0.8</v>
      </c>
      <c r="G19" s="3">
        <v>0.4513888888888889</v>
      </c>
      <c r="H19" s="1" t="s">
        <v>45</v>
      </c>
      <c r="I19" s="11">
        <v>13.6</v>
      </c>
      <c r="J19" s="1">
        <v>13.2</v>
      </c>
      <c r="K19" s="1">
        <v>13.1</v>
      </c>
      <c r="L19" s="1">
        <v>12.8</v>
      </c>
      <c r="M19" s="1">
        <f t="shared" si="0"/>
        <v>13.175000000000001</v>
      </c>
      <c r="N19" s="1">
        <v>6.3</v>
      </c>
      <c r="O19" s="1">
        <f t="shared" si="1"/>
        <v>3.15</v>
      </c>
      <c r="P19" s="1">
        <f t="shared" si="2"/>
        <v>410.69706966159919</v>
      </c>
      <c r="Q19" s="1">
        <f t="shared" si="3"/>
        <v>1.9479077380785152E-3</v>
      </c>
      <c r="R19" s="1">
        <f t="shared" si="4"/>
        <v>513.371337076999</v>
      </c>
      <c r="S19" s="5">
        <f t="shared" si="5"/>
        <v>8.5561889512833158</v>
      </c>
      <c r="T19" s="1" t="s">
        <v>24</v>
      </c>
    </row>
    <row r="20" spans="1:20" x14ac:dyDescent="0.2">
      <c r="A20" s="1">
        <v>7</v>
      </c>
      <c r="B20" s="1" t="s">
        <v>17</v>
      </c>
      <c r="C20" s="1" t="s">
        <v>31</v>
      </c>
      <c r="D20" s="2">
        <v>45826</v>
      </c>
      <c r="E20" s="1">
        <v>2.7</v>
      </c>
      <c r="F20" s="1">
        <v>0.5</v>
      </c>
      <c r="G20" s="3">
        <v>0.64375000000000004</v>
      </c>
      <c r="H20" s="1" t="s">
        <v>43</v>
      </c>
      <c r="I20" s="11" t="s">
        <v>36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>
        <v>0</v>
      </c>
      <c r="S20" s="5">
        <f t="shared" si="5"/>
        <v>0</v>
      </c>
      <c r="T20" s="1" t="s">
        <v>31</v>
      </c>
    </row>
    <row r="21" spans="1:20" x14ac:dyDescent="0.2">
      <c r="A21" s="1">
        <v>7</v>
      </c>
      <c r="B21" s="1" t="s">
        <v>17</v>
      </c>
      <c r="C21" s="1" t="s">
        <v>31</v>
      </c>
      <c r="D21" s="2">
        <v>45826</v>
      </c>
      <c r="E21" s="1">
        <v>2.9</v>
      </c>
      <c r="F21" s="1">
        <v>0.6</v>
      </c>
      <c r="G21" s="3">
        <v>0.80208333333333337</v>
      </c>
      <c r="H21" s="1" t="s">
        <v>44</v>
      </c>
      <c r="I21" s="11" t="s">
        <v>36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>
        <v>0</v>
      </c>
      <c r="S21" s="5">
        <f t="shared" si="5"/>
        <v>0</v>
      </c>
      <c r="T21" s="1" t="s">
        <v>31</v>
      </c>
    </row>
    <row r="22" spans="1:20" x14ac:dyDescent="0.2">
      <c r="A22" s="1">
        <v>7</v>
      </c>
      <c r="B22" s="1" t="s">
        <v>17</v>
      </c>
      <c r="C22" s="1" t="s">
        <v>31</v>
      </c>
      <c r="D22" s="2">
        <v>45827</v>
      </c>
      <c r="E22" s="1">
        <v>3.2</v>
      </c>
      <c r="F22" s="1">
        <v>0.7</v>
      </c>
      <c r="G22" s="3">
        <v>0.4513888888888889</v>
      </c>
      <c r="H22" s="1" t="s">
        <v>45</v>
      </c>
      <c r="I22" s="11" t="s">
        <v>36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>
        <v>0</v>
      </c>
      <c r="S22" s="5">
        <f t="shared" si="5"/>
        <v>0</v>
      </c>
      <c r="T22" s="1" t="s">
        <v>31</v>
      </c>
    </row>
    <row r="23" spans="1:20" x14ac:dyDescent="0.2">
      <c r="A23" s="1">
        <v>8</v>
      </c>
      <c r="B23" s="1" t="s">
        <v>17</v>
      </c>
      <c r="C23" s="1" t="s">
        <v>25</v>
      </c>
      <c r="D23" s="2">
        <v>45826</v>
      </c>
      <c r="E23" s="1">
        <v>2.7</v>
      </c>
      <c r="F23" s="1">
        <v>0.7</v>
      </c>
      <c r="G23" s="3">
        <v>0.64375000000000004</v>
      </c>
      <c r="H23" s="1" t="s">
        <v>43</v>
      </c>
      <c r="I23" s="11">
        <v>11.7</v>
      </c>
      <c r="J23" s="1">
        <v>11.2</v>
      </c>
      <c r="K23" s="4">
        <v>11</v>
      </c>
      <c r="L23" s="1">
        <v>11.9</v>
      </c>
      <c r="M23" s="1">
        <f>AVERAGE(I23:L23)</f>
        <v>11.45</v>
      </c>
      <c r="N23" s="1">
        <v>6.3</v>
      </c>
      <c r="O23" s="1">
        <f>N23/2</f>
        <v>3.15</v>
      </c>
      <c r="P23" s="1">
        <f>PI()*(O23^2)*M23</f>
        <v>356.92458805505203</v>
      </c>
      <c r="Q23" s="1">
        <f>F23/P23</f>
        <v>1.9611985932782867E-3</v>
      </c>
      <c r="R23" s="1">
        <f>1/Q23</f>
        <v>509.8922686500743</v>
      </c>
      <c r="S23" s="5">
        <f t="shared" si="5"/>
        <v>8.498204477501238</v>
      </c>
      <c r="T23" s="1" t="s">
        <v>25</v>
      </c>
    </row>
    <row r="24" spans="1:20" x14ac:dyDescent="0.2">
      <c r="A24" s="1">
        <v>8</v>
      </c>
      <c r="B24" s="1" t="s">
        <v>17</v>
      </c>
      <c r="C24" s="1" t="s">
        <v>25</v>
      </c>
      <c r="D24" s="2">
        <v>45826</v>
      </c>
      <c r="E24" s="1">
        <v>2.9</v>
      </c>
      <c r="F24" s="1">
        <v>0.5</v>
      </c>
      <c r="G24" s="3">
        <v>0.80208333333333337</v>
      </c>
      <c r="H24" s="1" t="s">
        <v>44</v>
      </c>
      <c r="I24" s="11">
        <v>11.7</v>
      </c>
      <c r="J24" s="1">
        <v>11.2</v>
      </c>
      <c r="K24" s="4">
        <v>11</v>
      </c>
      <c r="L24" s="1">
        <v>11.9</v>
      </c>
      <c r="M24" s="1">
        <f>AVERAGE(I24:L24)</f>
        <v>11.45</v>
      </c>
      <c r="N24" s="1">
        <v>6.3</v>
      </c>
      <c r="O24" s="1">
        <f>N24/2</f>
        <v>3.15</v>
      </c>
      <c r="P24" s="1">
        <f>PI()*(O24^2)*M24</f>
        <v>356.92458805505203</v>
      </c>
      <c r="Q24" s="1">
        <f>F24/P24</f>
        <v>1.4008561380559191E-3</v>
      </c>
      <c r="R24" s="1">
        <f>1/Q24</f>
        <v>713.84917611010405</v>
      </c>
      <c r="S24" s="5">
        <f t="shared" si="5"/>
        <v>11.897486268501734</v>
      </c>
      <c r="T24" s="1" t="s">
        <v>25</v>
      </c>
    </row>
    <row r="25" spans="1:20" x14ac:dyDescent="0.2">
      <c r="A25" s="1">
        <v>8</v>
      </c>
      <c r="B25" s="1" t="s">
        <v>17</v>
      </c>
      <c r="C25" s="1" t="s">
        <v>25</v>
      </c>
      <c r="D25" s="2">
        <v>45827</v>
      </c>
      <c r="E25" s="1">
        <v>3.2</v>
      </c>
      <c r="F25" s="1">
        <v>0.7</v>
      </c>
      <c r="G25" s="3">
        <v>0.4513888888888889</v>
      </c>
      <c r="H25" s="1" t="s">
        <v>45</v>
      </c>
      <c r="I25" s="11">
        <v>11.7</v>
      </c>
      <c r="J25" s="1">
        <v>11.2</v>
      </c>
      <c r="K25" s="4">
        <v>11</v>
      </c>
      <c r="L25" s="1">
        <v>11.9</v>
      </c>
      <c r="M25" s="1">
        <f>AVERAGE(I25:L25)</f>
        <v>11.45</v>
      </c>
      <c r="N25" s="1">
        <v>6.3</v>
      </c>
      <c r="O25" s="1">
        <f>N25/2</f>
        <v>3.15</v>
      </c>
      <c r="P25" s="1">
        <f>PI()*(O25^2)*M25</f>
        <v>356.92458805505203</v>
      </c>
      <c r="Q25" s="1">
        <f>F25/P25</f>
        <v>1.9611985932782867E-3</v>
      </c>
      <c r="R25" s="1">
        <f>1/Q25</f>
        <v>509.8922686500743</v>
      </c>
      <c r="S25" s="5">
        <f t="shared" si="5"/>
        <v>8.498204477501238</v>
      </c>
      <c r="T25" s="1" t="s">
        <v>25</v>
      </c>
    </row>
    <row r="26" spans="1:20" x14ac:dyDescent="0.2">
      <c r="A26" s="1">
        <v>9</v>
      </c>
      <c r="B26" s="1" t="s">
        <v>17</v>
      </c>
      <c r="C26" s="1" t="s">
        <v>32</v>
      </c>
      <c r="D26" s="2">
        <v>45826</v>
      </c>
      <c r="E26" s="1">
        <v>2.7</v>
      </c>
      <c r="F26" s="1">
        <v>0.7</v>
      </c>
      <c r="G26" s="3">
        <v>0.64375000000000004</v>
      </c>
      <c r="H26" s="1" t="s">
        <v>43</v>
      </c>
      <c r="I26" s="11" t="s">
        <v>36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>
        <v>0</v>
      </c>
      <c r="S26" s="5">
        <f t="shared" si="5"/>
        <v>0</v>
      </c>
      <c r="T26" s="1" t="s">
        <v>32</v>
      </c>
    </row>
    <row r="27" spans="1:20" x14ac:dyDescent="0.2">
      <c r="A27" s="1">
        <v>9</v>
      </c>
      <c r="B27" s="1" t="s">
        <v>17</v>
      </c>
      <c r="C27" s="1" t="s">
        <v>32</v>
      </c>
      <c r="D27" s="2">
        <v>45826</v>
      </c>
      <c r="E27" s="1">
        <v>2.9</v>
      </c>
      <c r="F27" s="1">
        <v>0.6</v>
      </c>
      <c r="G27" s="3">
        <v>0.80208333333333337</v>
      </c>
      <c r="H27" s="1" t="s">
        <v>44</v>
      </c>
      <c r="I27" s="11" t="s">
        <v>36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>
        <v>0</v>
      </c>
      <c r="S27" s="5">
        <f t="shared" si="5"/>
        <v>0</v>
      </c>
      <c r="T27" s="1" t="s">
        <v>32</v>
      </c>
    </row>
    <row r="28" spans="1:20" x14ac:dyDescent="0.2">
      <c r="A28" s="1">
        <v>9</v>
      </c>
      <c r="B28" s="1" t="s">
        <v>17</v>
      </c>
      <c r="C28" s="1" t="s">
        <v>32</v>
      </c>
      <c r="D28" s="2">
        <v>45827</v>
      </c>
      <c r="E28" s="1">
        <v>3.2</v>
      </c>
      <c r="F28" s="1">
        <v>0.7</v>
      </c>
      <c r="G28" s="3">
        <v>0.4513888888888889</v>
      </c>
      <c r="H28" s="1" t="s">
        <v>45</v>
      </c>
      <c r="I28" s="11" t="s">
        <v>36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>
        <v>0</v>
      </c>
      <c r="S28" s="5">
        <f t="shared" si="5"/>
        <v>0</v>
      </c>
      <c r="T28" s="1" t="s">
        <v>32</v>
      </c>
    </row>
    <row r="29" spans="1:20" x14ac:dyDescent="0.2">
      <c r="A29" s="1">
        <v>10</v>
      </c>
      <c r="B29" s="1" t="s">
        <v>18</v>
      </c>
      <c r="C29" s="1" t="s">
        <v>26</v>
      </c>
      <c r="D29" s="2">
        <v>45826</v>
      </c>
      <c r="E29" s="1">
        <v>2.7</v>
      </c>
      <c r="F29" s="1">
        <v>1.8</v>
      </c>
      <c r="G29" s="3">
        <v>0.64375000000000004</v>
      </c>
      <c r="H29" s="1" t="s">
        <v>43</v>
      </c>
      <c r="I29" s="11">
        <v>10.1</v>
      </c>
      <c r="J29" s="4">
        <v>10</v>
      </c>
      <c r="K29" s="1">
        <v>11.1</v>
      </c>
      <c r="L29" s="1">
        <v>9.9</v>
      </c>
      <c r="M29" s="1">
        <f t="shared" ref="M29:M37" si="6">AVERAGE(I29:L29)</f>
        <v>10.275</v>
      </c>
      <c r="N29" s="1">
        <v>6.3</v>
      </c>
      <c r="O29" s="1">
        <f t="shared" ref="O29:O37" si="7">N29/2</f>
        <v>3.15</v>
      </c>
      <c r="P29" s="1">
        <f t="shared" ref="P29:P37" si="8">PI()*(O29^2)*M29</f>
        <v>320.29695565638951</v>
      </c>
      <c r="Q29" s="1">
        <f t="shared" ref="Q29:Q37" si="9">F29/P29</f>
        <v>5.6197849158798035E-3</v>
      </c>
      <c r="R29" s="1">
        <f t="shared" ref="R29:R37" si="10">1/Q29</f>
        <v>177.94275314243862</v>
      </c>
      <c r="S29" s="5">
        <f t="shared" si="5"/>
        <v>2.9657125523739771</v>
      </c>
      <c r="T29" s="1" t="s">
        <v>26</v>
      </c>
    </row>
    <row r="30" spans="1:20" x14ac:dyDescent="0.2">
      <c r="A30" s="1">
        <v>10</v>
      </c>
      <c r="B30" s="1" t="s">
        <v>18</v>
      </c>
      <c r="C30" s="1" t="s">
        <v>26</v>
      </c>
      <c r="D30" s="2">
        <v>45826</v>
      </c>
      <c r="E30" s="1">
        <v>2.9</v>
      </c>
      <c r="F30" s="1">
        <v>1.9</v>
      </c>
      <c r="G30" s="3">
        <v>0.80208333333333337</v>
      </c>
      <c r="H30" s="1" t="s">
        <v>44</v>
      </c>
      <c r="I30" s="11">
        <v>10.1</v>
      </c>
      <c r="J30" s="4">
        <v>10</v>
      </c>
      <c r="K30" s="1">
        <v>11.1</v>
      </c>
      <c r="L30" s="1">
        <v>9.9</v>
      </c>
      <c r="M30" s="1">
        <f t="shared" si="6"/>
        <v>10.275</v>
      </c>
      <c r="N30" s="1">
        <v>6.3</v>
      </c>
      <c r="O30" s="1">
        <f t="shared" si="7"/>
        <v>3.15</v>
      </c>
      <c r="P30" s="1">
        <f t="shared" si="8"/>
        <v>320.29695565638951</v>
      </c>
      <c r="Q30" s="1">
        <f t="shared" si="9"/>
        <v>5.931995188984236E-3</v>
      </c>
      <c r="R30" s="1">
        <f t="shared" si="10"/>
        <v>168.5773450823103</v>
      </c>
      <c r="S30" s="5">
        <f t="shared" si="5"/>
        <v>2.8096224180385052</v>
      </c>
      <c r="T30" s="1" t="s">
        <v>26</v>
      </c>
    </row>
    <row r="31" spans="1:20" x14ac:dyDescent="0.2">
      <c r="A31" s="1">
        <v>10</v>
      </c>
      <c r="B31" s="1" t="s">
        <v>18</v>
      </c>
      <c r="C31" s="1" t="s">
        <v>26</v>
      </c>
      <c r="D31" s="2">
        <v>45827</v>
      </c>
      <c r="E31" s="1">
        <v>3.2</v>
      </c>
      <c r="F31" s="1">
        <v>1.2</v>
      </c>
      <c r="G31" s="3">
        <v>0.4513888888888889</v>
      </c>
      <c r="H31" s="1" t="s">
        <v>45</v>
      </c>
      <c r="I31" s="11">
        <v>10.1</v>
      </c>
      <c r="J31" s="4">
        <v>10</v>
      </c>
      <c r="K31" s="1">
        <v>11.1</v>
      </c>
      <c r="L31" s="1">
        <v>9.9</v>
      </c>
      <c r="M31" s="1">
        <f t="shared" si="6"/>
        <v>10.275</v>
      </c>
      <c r="N31" s="1">
        <v>6.3</v>
      </c>
      <c r="O31" s="1">
        <f t="shared" si="7"/>
        <v>3.15</v>
      </c>
      <c r="P31" s="1">
        <f t="shared" si="8"/>
        <v>320.29695565638951</v>
      </c>
      <c r="Q31" s="1">
        <f t="shared" si="9"/>
        <v>3.746523277253202E-3</v>
      </c>
      <c r="R31" s="1">
        <f t="shared" si="10"/>
        <v>266.91412971365793</v>
      </c>
      <c r="S31" s="5">
        <f t="shared" si="5"/>
        <v>4.4485688285609655</v>
      </c>
      <c r="T31" s="1" t="s">
        <v>26</v>
      </c>
    </row>
    <row r="32" spans="1:20" x14ac:dyDescent="0.2">
      <c r="A32" s="1">
        <v>11</v>
      </c>
      <c r="B32" s="1" t="s">
        <v>18</v>
      </c>
      <c r="C32" s="1" t="s">
        <v>27</v>
      </c>
      <c r="D32" s="2">
        <v>45826</v>
      </c>
      <c r="E32" s="1">
        <v>2.7</v>
      </c>
      <c r="F32" s="13">
        <v>0.9</v>
      </c>
      <c r="G32" s="3">
        <v>0.64375000000000004</v>
      </c>
      <c r="H32" s="1" t="s">
        <v>43</v>
      </c>
      <c r="I32" s="11">
        <v>11.6</v>
      </c>
      <c r="J32" s="1">
        <v>11.6</v>
      </c>
      <c r="K32" s="1">
        <v>11.5</v>
      </c>
      <c r="L32" s="1">
        <v>10.9</v>
      </c>
      <c r="M32" s="1">
        <f t="shared" si="6"/>
        <v>11.4</v>
      </c>
      <c r="N32" s="1">
        <v>6.3</v>
      </c>
      <c r="O32" s="1">
        <f t="shared" si="7"/>
        <v>3.15</v>
      </c>
      <c r="P32" s="1">
        <f t="shared" si="8"/>
        <v>355.36596539978984</v>
      </c>
      <c r="Q32" s="1">
        <f t="shared" si="9"/>
        <v>2.5326004390642531E-3</v>
      </c>
      <c r="R32" s="1">
        <f t="shared" si="10"/>
        <v>394.8510726664332</v>
      </c>
      <c r="S32" s="5">
        <f t="shared" si="5"/>
        <v>6.5808512111072197</v>
      </c>
      <c r="T32" s="1" t="s">
        <v>27</v>
      </c>
    </row>
    <row r="33" spans="1:20" x14ac:dyDescent="0.2">
      <c r="A33" s="1">
        <v>11</v>
      </c>
      <c r="B33" s="1" t="s">
        <v>18</v>
      </c>
      <c r="C33" s="1" t="s">
        <v>27</v>
      </c>
      <c r="D33" s="2">
        <v>45826</v>
      </c>
      <c r="E33" s="1">
        <v>2.9</v>
      </c>
      <c r="F33" s="1">
        <v>0.9</v>
      </c>
      <c r="G33" s="3">
        <v>0.80208333333333337</v>
      </c>
      <c r="H33" s="1" t="s">
        <v>44</v>
      </c>
      <c r="I33" s="11">
        <v>11.6</v>
      </c>
      <c r="J33" s="1">
        <v>11.6</v>
      </c>
      <c r="K33" s="1">
        <v>11.5</v>
      </c>
      <c r="L33" s="1">
        <v>10.9</v>
      </c>
      <c r="M33" s="1">
        <f t="shared" si="6"/>
        <v>11.4</v>
      </c>
      <c r="N33" s="1">
        <v>6.3</v>
      </c>
      <c r="O33" s="1">
        <f t="shared" si="7"/>
        <v>3.15</v>
      </c>
      <c r="P33" s="1">
        <f t="shared" si="8"/>
        <v>355.36596539978984</v>
      </c>
      <c r="Q33" s="1">
        <f t="shared" si="9"/>
        <v>2.5326004390642531E-3</v>
      </c>
      <c r="R33" s="1">
        <f t="shared" si="10"/>
        <v>394.8510726664332</v>
      </c>
      <c r="S33" s="5">
        <f t="shared" si="5"/>
        <v>6.5808512111072197</v>
      </c>
      <c r="T33" s="1" t="s">
        <v>27</v>
      </c>
    </row>
    <row r="34" spans="1:20" x14ac:dyDescent="0.2">
      <c r="A34" s="1">
        <v>11</v>
      </c>
      <c r="B34" s="1" t="s">
        <v>18</v>
      </c>
      <c r="C34" s="1" t="s">
        <v>27</v>
      </c>
      <c r="D34" s="2">
        <v>45827</v>
      </c>
      <c r="E34" s="1">
        <v>3.2</v>
      </c>
      <c r="F34" s="4">
        <v>1</v>
      </c>
      <c r="G34" s="3">
        <v>0.4513888888888889</v>
      </c>
      <c r="H34" s="1" t="s">
        <v>45</v>
      </c>
      <c r="I34" s="11">
        <v>11.6</v>
      </c>
      <c r="J34" s="1">
        <v>11.6</v>
      </c>
      <c r="K34" s="1">
        <v>11.5</v>
      </c>
      <c r="L34" s="1">
        <v>10.9</v>
      </c>
      <c r="M34" s="1">
        <f t="shared" si="6"/>
        <v>11.4</v>
      </c>
      <c r="N34" s="1">
        <v>6.3</v>
      </c>
      <c r="O34" s="1">
        <f t="shared" si="7"/>
        <v>3.15</v>
      </c>
      <c r="P34" s="1">
        <f t="shared" si="8"/>
        <v>355.36596539978984</v>
      </c>
      <c r="Q34" s="1">
        <f t="shared" si="9"/>
        <v>2.8140004878491704E-3</v>
      </c>
      <c r="R34" s="1">
        <f t="shared" si="10"/>
        <v>355.36596539978984</v>
      </c>
      <c r="S34" s="5">
        <f t="shared" ref="S34:S52" si="11">R34/60</f>
        <v>5.9227660899964976</v>
      </c>
      <c r="T34" s="1" t="s">
        <v>27</v>
      </c>
    </row>
    <row r="35" spans="1:20" x14ac:dyDescent="0.2">
      <c r="A35" s="1">
        <v>12</v>
      </c>
      <c r="B35" s="1" t="s">
        <v>18</v>
      </c>
      <c r="C35" s="1" t="s">
        <v>28</v>
      </c>
      <c r="D35" s="2">
        <v>45826</v>
      </c>
      <c r="E35" s="1">
        <v>2.7</v>
      </c>
      <c r="F35" s="1">
        <v>0.8</v>
      </c>
      <c r="G35" s="3">
        <v>0.64375000000000004</v>
      </c>
      <c r="H35" s="1" t="s">
        <v>43</v>
      </c>
      <c r="I35" s="12">
        <v>12</v>
      </c>
      <c r="J35" s="1">
        <v>11.7</v>
      </c>
      <c r="K35" s="1">
        <v>11.6</v>
      </c>
      <c r="L35" s="1">
        <v>11.8</v>
      </c>
      <c r="M35" s="1">
        <f t="shared" si="6"/>
        <v>11.774999999999999</v>
      </c>
      <c r="N35" s="1">
        <v>6.3</v>
      </c>
      <c r="O35" s="1">
        <f t="shared" si="7"/>
        <v>3.15</v>
      </c>
      <c r="P35" s="1">
        <f t="shared" si="8"/>
        <v>367.05563531425656</v>
      </c>
      <c r="Q35" s="1">
        <f t="shared" si="9"/>
        <v>2.1795061103341349E-3</v>
      </c>
      <c r="R35" s="1">
        <f t="shared" si="10"/>
        <v>458.81954414282069</v>
      </c>
      <c r="S35" s="5">
        <f t="shared" si="11"/>
        <v>7.6469924023803451</v>
      </c>
      <c r="T35" s="1" t="s">
        <v>28</v>
      </c>
    </row>
    <row r="36" spans="1:20" x14ac:dyDescent="0.2">
      <c r="A36" s="1">
        <v>12</v>
      </c>
      <c r="B36" s="1" t="s">
        <v>18</v>
      </c>
      <c r="C36" s="1" t="s">
        <v>28</v>
      </c>
      <c r="D36" s="2">
        <v>45826</v>
      </c>
      <c r="E36" s="1">
        <v>2.9</v>
      </c>
      <c r="F36" s="1">
        <v>0.8</v>
      </c>
      <c r="G36" s="3">
        <v>0.80208333333333337</v>
      </c>
      <c r="H36" s="1" t="s">
        <v>44</v>
      </c>
      <c r="I36" s="12">
        <v>12</v>
      </c>
      <c r="J36" s="1">
        <v>11.7</v>
      </c>
      <c r="K36" s="1">
        <v>11.6</v>
      </c>
      <c r="L36" s="1">
        <v>11.8</v>
      </c>
      <c r="M36" s="1">
        <f t="shared" si="6"/>
        <v>11.774999999999999</v>
      </c>
      <c r="N36" s="1">
        <v>6.3</v>
      </c>
      <c r="O36" s="1">
        <f t="shared" si="7"/>
        <v>3.15</v>
      </c>
      <c r="P36" s="1">
        <f t="shared" si="8"/>
        <v>367.05563531425656</v>
      </c>
      <c r="Q36" s="1">
        <f t="shared" si="9"/>
        <v>2.1795061103341349E-3</v>
      </c>
      <c r="R36" s="1">
        <f t="shared" si="10"/>
        <v>458.81954414282069</v>
      </c>
      <c r="S36" s="5">
        <f t="shared" si="11"/>
        <v>7.6469924023803451</v>
      </c>
      <c r="T36" s="1" t="s">
        <v>28</v>
      </c>
    </row>
    <row r="37" spans="1:20" x14ac:dyDescent="0.2">
      <c r="A37" s="1">
        <v>12</v>
      </c>
      <c r="B37" s="1" t="s">
        <v>18</v>
      </c>
      <c r="C37" s="1" t="s">
        <v>28</v>
      </c>
      <c r="D37" s="2">
        <v>45827</v>
      </c>
      <c r="E37" s="1">
        <v>3.2</v>
      </c>
      <c r="F37" s="1">
        <v>0.8</v>
      </c>
      <c r="G37" s="3">
        <v>0.4513888888888889</v>
      </c>
      <c r="H37" s="1" t="s">
        <v>45</v>
      </c>
      <c r="I37" s="12">
        <v>12</v>
      </c>
      <c r="J37" s="1">
        <v>11.7</v>
      </c>
      <c r="K37" s="1">
        <v>11.6</v>
      </c>
      <c r="L37" s="1">
        <v>11.8</v>
      </c>
      <c r="M37" s="1">
        <f t="shared" si="6"/>
        <v>11.774999999999999</v>
      </c>
      <c r="N37" s="1">
        <v>6.3</v>
      </c>
      <c r="O37" s="1">
        <f t="shared" si="7"/>
        <v>3.15</v>
      </c>
      <c r="P37" s="1">
        <f t="shared" si="8"/>
        <v>367.05563531425656</v>
      </c>
      <c r="Q37" s="1">
        <f t="shared" si="9"/>
        <v>2.1795061103341349E-3</v>
      </c>
      <c r="R37" s="1">
        <f t="shared" si="10"/>
        <v>458.81954414282069</v>
      </c>
      <c r="S37" s="5">
        <f t="shared" si="11"/>
        <v>7.6469924023803451</v>
      </c>
      <c r="T37" s="1" t="s">
        <v>28</v>
      </c>
    </row>
    <row r="38" spans="1:20" x14ac:dyDescent="0.2">
      <c r="A38" s="1">
        <v>13</v>
      </c>
      <c r="B38" s="1" t="s">
        <v>18</v>
      </c>
      <c r="C38" s="1" t="s">
        <v>33</v>
      </c>
      <c r="D38" s="2">
        <v>45826</v>
      </c>
      <c r="E38" s="1">
        <v>2.7</v>
      </c>
      <c r="F38" s="1">
        <v>0.5</v>
      </c>
      <c r="G38" s="3">
        <v>0.64375000000000004</v>
      </c>
      <c r="H38" s="1" t="s">
        <v>43</v>
      </c>
      <c r="I38" s="11" t="s">
        <v>36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>
        <v>0</v>
      </c>
      <c r="S38" s="5">
        <f t="shared" si="11"/>
        <v>0</v>
      </c>
      <c r="T38" s="1" t="s">
        <v>33</v>
      </c>
    </row>
    <row r="39" spans="1:20" x14ac:dyDescent="0.2">
      <c r="A39" s="1">
        <v>13</v>
      </c>
      <c r="B39" s="1" t="s">
        <v>18</v>
      </c>
      <c r="C39" s="1" t="s">
        <v>33</v>
      </c>
      <c r="D39" s="2">
        <v>45826</v>
      </c>
      <c r="E39" s="1">
        <v>2.9</v>
      </c>
      <c r="F39" s="1">
        <v>0.5</v>
      </c>
      <c r="G39" s="3">
        <v>0.80208333333333337</v>
      </c>
      <c r="H39" s="1" t="s">
        <v>44</v>
      </c>
      <c r="I39" s="11" t="s">
        <v>36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>
        <v>0</v>
      </c>
      <c r="S39" s="5">
        <f t="shared" si="11"/>
        <v>0</v>
      </c>
      <c r="T39" s="1" t="s">
        <v>33</v>
      </c>
    </row>
    <row r="40" spans="1:20" x14ac:dyDescent="0.2">
      <c r="A40" s="1">
        <v>13</v>
      </c>
      <c r="B40" s="1" t="s">
        <v>18</v>
      </c>
      <c r="C40" s="1" t="s">
        <v>33</v>
      </c>
      <c r="D40" s="2">
        <v>45827</v>
      </c>
      <c r="E40" s="1">
        <v>3.2</v>
      </c>
      <c r="F40" s="1">
        <v>0.7</v>
      </c>
      <c r="G40" s="3">
        <v>0.4513888888888889</v>
      </c>
      <c r="H40" s="1" t="s">
        <v>45</v>
      </c>
      <c r="I40" s="11" t="s">
        <v>36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>
        <v>0</v>
      </c>
      <c r="S40" s="5">
        <f t="shared" si="11"/>
        <v>0</v>
      </c>
      <c r="T40" s="1" t="s">
        <v>33</v>
      </c>
    </row>
    <row r="41" spans="1:20" x14ac:dyDescent="0.2">
      <c r="A41" s="1">
        <v>14</v>
      </c>
      <c r="B41" s="1" t="s">
        <v>18</v>
      </c>
      <c r="C41" s="1" t="s">
        <v>34</v>
      </c>
      <c r="D41" s="2">
        <v>45826</v>
      </c>
      <c r="E41" s="1">
        <v>2.7</v>
      </c>
      <c r="F41" s="1">
        <v>2.5</v>
      </c>
      <c r="G41" s="3">
        <v>0.64375000000000004</v>
      </c>
      <c r="H41" s="1" t="s">
        <v>43</v>
      </c>
      <c r="I41" s="11" t="s">
        <v>36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>
        <v>0</v>
      </c>
      <c r="S41" s="5">
        <f t="shared" si="11"/>
        <v>0</v>
      </c>
      <c r="T41" s="1" t="s">
        <v>34</v>
      </c>
    </row>
    <row r="42" spans="1:20" x14ac:dyDescent="0.2">
      <c r="A42" s="1">
        <v>14</v>
      </c>
      <c r="B42" s="1" t="s">
        <v>18</v>
      </c>
      <c r="C42" s="1" t="s">
        <v>34</v>
      </c>
      <c r="D42" s="2">
        <v>45826</v>
      </c>
      <c r="E42" s="1">
        <v>2.9</v>
      </c>
      <c r="F42" s="1">
        <v>1.7</v>
      </c>
      <c r="G42" s="3">
        <v>0.80208333333333337</v>
      </c>
      <c r="H42" s="1" t="s">
        <v>44</v>
      </c>
      <c r="I42" s="11" t="s">
        <v>36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>
        <v>0</v>
      </c>
      <c r="S42" s="5">
        <f t="shared" si="11"/>
        <v>0</v>
      </c>
      <c r="T42" s="1" t="s">
        <v>34</v>
      </c>
    </row>
    <row r="43" spans="1:20" x14ac:dyDescent="0.2">
      <c r="A43" s="1">
        <v>14</v>
      </c>
      <c r="B43" s="1" t="s">
        <v>18</v>
      </c>
      <c r="C43" s="1" t="s">
        <v>34</v>
      </c>
      <c r="D43" s="2">
        <v>45827</v>
      </c>
      <c r="E43" s="1">
        <v>3.2</v>
      </c>
      <c r="F43" s="1">
        <v>1.4</v>
      </c>
      <c r="G43" s="3">
        <v>0.4513888888888889</v>
      </c>
      <c r="H43" s="1" t="s">
        <v>45</v>
      </c>
      <c r="I43" s="11" t="s">
        <v>36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>
        <v>0</v>
      </c>
      <c r="S43" s="5">
        <f t="shared" si="11"/>
        <v>0</v>
      </c>
      <c r="T43" s="1" t="s">
        <v>34</v>
      </c>
    </row>
    <row r="44" spans="1:20" x14ac:dyDescent="0.2">
      <c r="A44" s="1">
        <v>15</v>
      </c>
      <c r="B44" s="1" t="s">
        <v>18</v>
      </c>
      <c r="C44" s="1" t="s">
        <v>29</v>
      </c>
      <c r="D44" s="2">
        <v>45826</v>
      </c>
      <c r="E44" s="1">
        <v>2.7</v>
      </c>
      <c r="F44" s="1">
        <v>0.9</v>
      </c>
      <c r="G44" s="3">
        <v>0.64375000000000004</v>
      </c>
      <c r="H44" s="1" t="s">
        <v>43</v>
      </c>
      <c r="I44" s="11">
        <v>11.2</v>
      </c>
      <c r="J44" s="1">
        <v>10.7</v>
      </c>
      <c r="K44" s="1">
        <v>10.4</v>
      </c>
      <c r="L44" s="1">
        <v>9.6999999999999993</v>
      </c>
      <c r="M44" s="1">
        <f t="shared" ref="M44:M49" si="12">AVERAGE(I44:L44)</f>
        <v>10.5</v>
      </c>
      <c r="N44" s="1">
        <v>6.3</v>
      </c>
      <c r="O44" s="1">
        <f t="shared" ref="O44:O49" si="13">N44/2</f>
        <v>3.15</v>
      </c>
      <c r="P44" s="1">
        <f t="shared" ref="P44:P49" si="14">PI()*(O44^2)*M44</f>
        <v>327.31075760506957</v>
      </c>
      <c r="Q44" s="1">
        <f t="shared" ref="Q44:Q49" si="15">F44/P44</f>
        <v>2.7496804766983323E-3</v>
      </c>
      <c r="R44" s="1">
        <f t="shared" ref="R44:R49" si="16">1/Q44</f>
        <v>363.67861956118844</v>
      </c>
      <c r="S44" s="5">
        <f t="shared" si="11"/>
        <v>6.0613103260198073</v>
      </c>
      <c r="T44" s="1" t="s">
        <v>29</v>
      </c>
    </row>
    <row r="45" spans="1:20" x14ac:dyDescent="0.2">
      <c r="A45" s="1">
        <v>15</v>
      </c>
      <c r="B45" s="1" t="s">
        <v>18</v>
      </c>
      <c r="C45" s="1" t="s">
        <v>29</v>
      </c>
      <c r="D45" s="2">
        <v>45826</v>
      </c>
      <c r="E45" s="1">
        <v>2.9</v>
      </c>
      <c r="F45" s="1">
        <v>0.7</v>
      </c>
      <c r="G45" s="3">
        <v>0.80208333333333337</v>
      </c>
      <c r="H45" s="1" t="s">
        <v>44</v>
      </c>
      <c r="I45" s="11">
        <v>11.2</v>
      </c>
      <c r="J45" s="1">
        <v>10.7</v>
      </c>
      <c r="K45" s="1">
        <v>10.4</v>
      </c>
      <c r="L45" s="1">
        <v>9.6999999999999993</v>
      </c>
      <c r="M45" s="1">
        <f t="shared" si="12"/>
        <v>10.5</v>
      </c>
      <c r="N45" s="1">
        <v>6.3</v>
      </c>
      <c r="O45" s="1">
        <f t="shared" si="13"/>
        <v>3.15</v>
      </c>
      <c r="P45" s="1">
        <f t="shared" si="14"/>
        <v>327.31075760506957</v>
      </c>
      <c r="Q45" s="1">
        <f t="shared" si="15"/>
        <v>2.1386403707653696E-3</v>
      </c>
      <c r="R45" s="1">
        <f t="shared" si="16"/>
        <v>467.58679657867083</v>
      </c>
      <c r="S45" s="5">
        <f t="shared" si="11"/>
        <v>7.7931132763111801</v>
      </c>
      <c r="T45" s="1" t="s">
        <v>29</v>
      </c>
    </row>
    <row r="46" spans="1:20" x14ac:dyDescent="0.2">
      <c r="A46" s="1">
        <v>15</v>
      </c>
      <c r="B46" s="1" t="s">
        <v>18</v>
      </c>
      <c r="C46" s="1" t="s">
        <v>29</v>
      </c>
      <c r="D46" s="2">
        <v>45827</v>
      </c>
      <c r="E46" s="1">
        <v>3.2</v>
      </c>
      <c r="F46" s="1">
        <v>0.7</v>
      </c>
      <c r="G46" s="3">
        <v>0.4513888888888889</v>
      </c>
      <c r="H46" s="1" t="s">
        <v>45</v>
      </c>
      <c r="I46" s="11">
        <v>11.2</v>
      </c>
      <c r="J46" s="1">
        <v>10.7</v>
      </c>
      <c r="K46" s="1">
        <v>10.4</v>
      </c>
      <c r="L46" s="1">
        <v>9.6999999999999993</v>
      </c>
      <c r="M46" s="1">
        <f t="shared" si="12"/>
        <v>10.5</v>
      </c>
      <c r="N46" s="1">
        <v>6.3</v>
      </c>
      <c r="O46" s="1">
        <f t="shared" si="13"/>
        <v>3.15</v>
      </c>
      <c r="P46" s="1">
        <f t="shared" si="14"/>
        <v>327.31075760506957</v>
      </c>
      <c r="Q46" s="1">
        <f t="shared" si="15"/>
        <v>2.1386403707653696E-3</v>
      </c>
      <c r="R46" s="1">
        <f t="shared" si="16"/>
        <v>467.58679657867083</v>
      </c>
      <c r="S46" s="5">
        <f t="shared" si="11"/>
        <v>7.7931132763111801</v>
      </c>
      <c r="T46" s="1" t="s">
        <v>29</v>
      </c>
    </row>
    <row r="47" spans="1:20" x14ac:dyDescent="0.2">
      <c r="A47" s="1">
        <v>16</v>
      </c>
      <c r="B47" s="1" t="s">
        <v>18</v>
      </c>
      <c r="C47" s="1" t="s">
        <v>30</v>
      </c>
      <c r="D47" s="2">
        <v>45826</v>
      </c>
      <c r="E47" s="1">
        <v>2.7</v>
      </c>
      <c r="F47" s="1">
        <v>0.6</v>
      </c>
      <c r="G47" s="3">
        <v>0.64375000000000004</v>
      </c>
      <c r="H47" s="1" t="s">
        <v>43</v>
      </c>
      <c r="I47" s="11">
        <v>11.7</v>
      </c>
      <c r="J47" s="1">
        <v>11.3</v>
      </c>
      <c r="K47" s="4">
        <v>12</v>
      </c>
      <c r="L47" s="1">
        <v>12.3</v>
      </c>
      <c r="M47" s="1">
        <f t="shared" si="12"/>
        <v>11.824999999999999</v>
      </c>
      <c r="N47" s="1">
        <v>6.3</v>
      </c>
      <c r="O47" s="1">
        <f t="shared" si="13"/>
        <v>3.15</v>
      </c>
      <c r="P47" s="1">
        <f t="shared" si="14"/>
        <v>368.6142579695188</v>
      </c>
      <c r="Q47" s="1">
        <f t="shared" si="15"/>
        <v>1.6277178297579981E-3</v>
      </c>
      <c r="R47" s="1">
        <f t="shared" si="16"/>
        <v>614.35709661586463</v>
      </c>
      <c r="S47" s="5">
        <f t="shared" si="11"/>
        <v>10.239284943597744</v>
      </c>
      <c r="T47" s="1" t="s">
        <v>30</v>
      </c>
    </row>
    <row r="48" spans="1:20" x14ac:dyDescent="0.2">
      <c r="A48" s="1">
        <v>16</v>
      </c>
      <c r="B48" s="1" t="s">
        <v>18</v>
      </c>
      <c r="C48" s="1" t="s">
        <v>30</v>
      </c>
      <c r="D48" s="2">
        <v>45826</v>
      </c>
      <c r="E48" s="1">
        <v>2.9</v>
      </c>
      <c r="F48" s="1">
        <v>0.7</v>
      </c>
      <c r="G48" s="3">
        <v>0.80208333333333337</v>
      </c>
      <c r="H48" s="1" t="s">
        <v>44</v>
      </c>
      <c r="I48" s="11">
        <v>11.7</v>
      </c>
      <c r="J48" s="1">
        <v>11.3</v>
      </c>
      <c r="K48" s="4">
        <v>12</v>
      </c>
      <c r="L48" s="1">
        <v>12.3</v>
      </c>
      <c r="M48" s="1">
        <f t="shared" si="12"/>
        <v>11.824999999999999</v>
      </c>
      <c r="N48" s="1">
        <v>6.3</v>
      </c>
      <c r="O48" s="1">
        <f t="shared" si="13"/>
        <v>3.15</v>
      </c>
      <c r="P48" s="1">
        <f t="shared" si="14"/>
        <v>368.6142579695188</v>
      </c>
      <c r="Q48" s="1">
        <f t="shared" si="15"/>
        <v>1.8990041347176643E-3</v>
      </c>
      <c r="R48" s="1">
        <f t="shared" si="16"/>
        <v>526.59179709931266</v>
      </c>
      <c r="S48" s="5">
        <f t="shared" si="11"/>
        <v>8.7765299516552115</v>
      </c>
      <c r="T48" s="1" t="s">
        <v>30</v>
      </c>
    </row>
    <row r="49" spans="1:20" x14ac:dyDescent="0.2">
      <c r="A49" s="1">
        <v>16</v>
      </c>
      <c r="B49" s="1" t="s">
        <v>18</v>
      </c>
      <c r="C49" s="1" t="s">
        <v>30</v>
      </c>
      <c r="D49" s="2">
        <v>45827</v>
      </c>
      <c r="E49" s="1">
        <v>3.2</v>
      </c>
      <c r="F49" s="1">
        <v>0.8</v>
      </c>
      <c r="G49" s="3">
        <v>0.4513888888888889</v>
      </c>
      <c r="H49" s="1" t="s">
        <v>45</v>
      </c>
      <c r="I49" s="11">
        <v>11.7</v>
      </c>
      <c r="J49" s="1">
        <v>11.3</v>
      </c>
      <c r="K49" s="4">
        <v>12</v>
      </c>
      <c r="L49" s="1">
        <v>12.3</v>
      </c>
      <c r="M49" s="1">
        <f t="shared" si="12"/>
        <v>11.824999999999999</v>
      </c>
      <c r="N49" s="1">
        <v>6.3</v>
      </c>
      <c r="O49" s="1">
        <f t="shared" si="13"/>
        <v>3.15</v>
      </c>
      <c r="P49" s="1">
        <f t="shared" si="14"/>
        <v>368.6142579695188</v>
      </c>
      <c r="Q49" s="1">
        <f t="shared" si="15"/>
        <v>2.1702904396773311E-3</v>
      </c>
      <c r="R49" s="1">
        <f t="shared" si="16"/>
        <v>460.76782246189845</v>
      </c>
      <c r="S49" s="5">
        <f t="shared" si="11"/>
        <v>7.6794637076983072</v>
      </c>
      <c r="T49" s="1" t="s">
        <v>30</v>
      </c>
    </row>
    <row r="50" spans="1:20" x14ac:dyDescent="0.2">
      <c r="A50" s="1">
        <v>17</v>
      </c>
      <c r="B50" s="1" t="s">
        <v>18</v>
      </c>
      <c r="C50" s="1" t="s">
        <v>35</v>
      </c>
      <c r="D50" s="2">
        <v>45826</v>
      </c>
      <c r="E50" s="1">
        <v>2.7</v>
      </c>
      <c r="F50" s="1">
        <v>0.5</v>
      </c>
      <c r="G50" s="3">
        <v>0.64375000000000004</v>
      </c>
      <c r="H50" s="1" t="s">
        <v>43</v>
      </c>
      <c r="I50" s="11" t="s">
        <v>36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>
        <v>0</v>
      </c>
      <c r="S50" s="5">
        <f t="shared" si="11"/>
        <v>0</v>
      </c>
      <c r="T50" s="1" t="s">
        <v>35</v>
      </c>
    </row>
    <row r="51" spans="1:20" x14ac:dyDescent="0.2">
      <c r="A51" s="1">
        <v>17</v>
      </c>
      <c r="B51" s="1" t="s">
        <v>18</v>
      </c>
      <c r="C51" s="1" t="s">
        <v>35</v>
      </c>
      <c r="D51" s="2">
        <v>45826</v>
      </c>
      <c r="E51" s="1">
        <v>2.9</v>
      </c>
      <c r="F51" s="1">
        <v>0.6</v>
      </c>
      <c r="G51" s="3">
        <v>0.80208333333333337</v>
      </c>
      <c r="H51" s="1" t="s">
        <v>44</v>
      </c>
      <c r="I51" s="11" t="s">
        <v>36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>
        <v>0</v>
      </c>
      <c r="S51" s="5">
        <f t="shared" si="11"/>
        <v>0</v>
      </c>
      <c r="T51" s="1" t="s">
        <v>35</v>
      </c>
    </row>
    <row r="52" spans="1:20" x14ac:dyDescent="0.2">
      <c r="A52" s="1">
        <v>17</v>
      </c>
      <c r="B52" s="1" t="s">
        <v>18</v>
      </c>
      <c r="C52" s="1" t="s">
        <v>35</v>
      </c>
      <c r="D52" s="2">
        <v>45827</v>
      </c>
      <c r="E52" s="1">
        <v>3.2</v>
      </c>
      <c r="F52" s="1">
        <v>0.8</v>
      </c>
      <c r="G52" s="3">
        <v>0.4513888888888889</v>
      </c>
      <c r="H52" s="1" t="s">
        <v>45</v>
      </c>
      <c r="I52" s="11" t="s">
        <v>36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>
        <v>0</v>
      </c>
      <c r="S52" s="5">
        <f t="shared" si="11"/>
        <v>0</v>
      </c>
      <c r="T52" s="1" t="s">
        <v>35</v>
      </c>
    </row>
  </sheetData>
  <sortState xmlns:xlrd2="http://schemas.microsoft.com/office/spreadsheetml/2017/richdata2" ref="A2:T52">
    <sortCondition ref="A2:A5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June11</vt:lpstr>
      <vt:lpstr>June17</vt:lpstr>
      <vt:lpstr>June17_sorted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Finlay, Colin</dc:creator>
  <cp:lastModifiedBy>Finlay, Colin</cp:lastModifiedBy>
  <dcterms:created xsi:type="dcterms:W3CDTF">2025-06-11T12:48:21Z</dcterms:created>
  <dcterms:modified xsi:type="dcterms:W3CDTF">2025-12-15T23:32:32Z</dcterms:modified>
</cp:coreProperties>
</file>